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DCCA8475-3B10-4443-93A3-260AA48EF109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Panel Principal" sheetId="1" r:id="rId1"/>
    <sheet name="Ingresos" sheetId="2" r:id="rId2"/>
    <sheet name="Tarjetas_Bancos" sheetId="3" r:id="rId3"/>
    <sheet name="Gastos_Personales" sheetId="4" r:id="rId4"/>
    <sheet name="Hogar" sheetId="5" r:id="rId5"/>
    <sheet name="Deudas_Varios" sheetId="6" r:id="rId6"/>
    <sheet name="Referencia" sheetId="7" r:id="rId7"/>
    <sheet name="Objetivos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4" i="1" l="1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B11" i="4"/>
  <c r="U16" i="5"/>
  <c r="V16" i="5"/>
  <c r="W16" i="5"/>
  <c r="X16" i="5"/>
  <c r="Y16" i="5"/>
  <c r="Z16" i="5"/>
  <c r="AA16" i="5"/>
  <c r="AB16" i="5"/>
  <c r="AC16" i="5"/>
  <c r="T16" i="5"/>
  <c r="T13" i="3"/>
  <c r="U13" i="3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B16" i="5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F11" i="6"/>
  <c r="E9" i="8"/>
  <c r="D9" i="8"/>
  <c r="I8" i="8"/>
  <c r="G8" i="8"/>
  <c r="F8" i="8"/>
  <c r="I7" i="8"/>
  <c r="G7" i="8"/>
  <c r="F7" i="8"/>
  <c r="I6" i="8"/>
  <c r="H6" i="8"/>
  <c r="G6" i="8"/>
  <c r="F6" i="8"/>
  <c r="E11" i="6"/>
  <c r="D11" i="6"/>
  <c r="C11" i="6"/>
  <c r="B11" i="6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T4" i="1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S4" i="1"/>
  <c r="AS8" i="1" s="1"/>
  <c r="AR4" i="1"/>
  <c r="AR8" i="1" s="1"/>
  <c r="AQ4" i="1"/>
  <c r="AQ8" i="1" s="1"/>
  <c r="AP4" i="1"/>
  <c r="AP8" i="1" s="1"/>
  <c r="AO4" i="1"/>
  <c r="AO8" i="1" s="1"/>
  <c r="AN4" i="1"/>
  <c r="AN8" i="1" s="1"/>
  <c r="AM4" i="1"/>
  <c r="AM8" i="1" s="1"/>
  <c r="AL4" i="1"/>
  <c r="AL8" i="1" s="1"/>
  <c r="AK4" i="1"/>
  <c r="AK8" i="1" s="1"/>
  <c r="AJ4" i="1"/>
  <c r="AJ8" i="1" s="1"/>
  <c r="AI4" i="1"/>
  <c r="AI8" i="1" s="1"/>
  <c r="AH4" i="1"/>
  <c r="AH8" i="1" s="1"/>
  <c r="AG4" i="1"/>
  <c r="AG8" i="1" s="1"/>
  <c r="AF4" i="1"/>
  <c r="AF8" i="1" s="1"/>
  <c r="AE4" i="1"/>
  <c r="AE8" i="1" s="1"/>
  <c r="AD4" i="1"/>
  <c r="AD8" i="1" s="1"/>
  <c r="AC4" i="1"/>
  <c r="AC8" i="1" s="1"/>
  <c r="AB4" i="1"/>
  <c r="AB8" i="1" s="1"/>
  <c r="AA4" i="1"/>
  <c r="AA8" i="1" s="1"/>
  <c r="Z4" i="1"/>
  <c r="Z8" i="1" s="1"/>
  <c r="Y4" i="1"/>
  <c r="Y8" i="1" s="1"/>
  <c r="X8" i="1"/>
  <c r="W4" i="1"/>
  <c r="W8" i="1" s="1"/>
  <c r="V4" i="1"/>
  <c r="V8" i="1" s="1"/>
  <c r="U4" i="1"/>
  <c r="U8" i="1" s="1"/>
  <c r="T8" i="1"/>
  <c r="S4" i="1"/>
  <c r="S8" i="1" s="1"/>
  <c r="R4" i="1"/>
  <c r="R8" i="1" s="1"/>
  <c r="Q4" i="1"/>
  <c r="Q8" i="1" s="1"/>
  <c r="P4" i="1"/>
  <c r="P8" i="1" s="1"/>
  <c r="O4" i="1"/>
  <c r="O8" i="1" s="1"/>
  <c r="N4" i="1"/>
  <c r="N8" i="1" s="1"/>
  <c r="M4" i="1"/>
  <c r="M8" i="1" s="1"/>
  <c r="L4" i="1"/>
  <c r="L8" i="1" s="1"/>
  <c r="K4" i="1"/>
  <c r="K8" i="1" s="1"/>
  <c r="J4" i="1"/>
  <c r="J8" i="1" s="1"/>
  <c r="I4" i="1"/>
  <c r="I8" i="1" s="1"/>
  <c r="H4" i="1"/>
  <c r="H8" i="1" s="1"/>
  <c r="G4" i="1"/>
  <c r="G8" i="1" s="1"/>
  <c r="F4" i="1"/>
  <c r="F8" i="1" s="1"/>
  <c r="E4" i="1"/>
  <c r="E8" i="1" s="1"/>
  <c r="D4" i="1"/>
  <c r="D8" i="1" s="1"/>
  <c r="C4" i="1"/>
  <c r="C8" i="1" s="1"/>
  <c r="B4" i="1"/>
  <c r="B8" i="1" s="1"/>
  <c r="B11" i="1" l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F9" i="8"/>
  <c r="H7" i="8"/>
</calcChain>
</file>

<file path=xl/sharedStrings.xml><?xml version="1.0" encoding="utf-8"?>
<sst xmlns="http://schemas.openxmlformats.org/spreadsheetml/2006/main" count="623" uniqueCount="135">
  <si>
    <t>2025</t>
  </si>
  <si>
    <t>2026</t>
  </si>
  <si>
    <t>2027</t>
  </si>
  <si>
    <t>2028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</si>
  <si>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</si>
  <si>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</si>
  <si>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</si>
  <si>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</si>
  <si>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</si>
  <si>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</si>
  <si>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</si>
  <si>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</si>
  <si>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</si>
  <si>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</si>
  <si>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</si>
  <si>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</si>
  <si>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</si>
  <si>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</si>
  <si>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</si>
  <si>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</si>
  <si>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</si>
  <si>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</si>
  <si>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</si>
  <si>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</si>
  <si>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</si>
  <si>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</si>
  <si>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Enero 2027</t>
  </si>
  <si>
    <t>Febrero 2027</t>
  </si>
  <si>
    <t>Marzo 2027</t>
  </si>
  <si>
    <t>Abril 2027</t>
  </si>
  <si>
    <t>Mayo 2027</t>
  </si>
  <si>
    <t>Junio 2027</t>
  </si>
  <si>
    <t>Julio 2027</t>
  </si>
  <si>
    <t>Agosto 2027</t>
  </si>
  <si>
    <t>Septiembre 2027</t>
  </si>
  <si>
    <t>Octubre 2027</t>
  </si>
  <si>
    <t>Noviembre 2027</t>
  </si>
  <si>
    <t>Diciembre 2027</t>
  </si>
  <si>
    <t>Enero 2028</t>
  </si>
  <si>
    <t>Febrero 2028</t>
  </si>
  <si>
    <t>Marzo 2028</t>
  </si>
  <si>
    <t>Abril 2028</t>
  </si>
  <si>
    <t>Mayo 2028</t>
  </si>
  <si>
    <t>Junio 2028</t>
  </si>
  <si>
    <t>Julio 2028</t>
  </si>
  <si>
    <t>Agosto 2028</t>
  </si>
  <si>
    <t>Septiembre 2028</t>
  </si>
  <si>
    <t>Octubre 2028</t>
  </si>
  <si>
    <t>📊 RESUMEN DE GASTOS</t>
  </si>
  <si>
    <t>Tarjetas &amp; Bancos</t>
  </si>
  <si>
    <t>Gastos Personales</t>
  </si>
  <si>
    <t>Hogar</t>
  </si>
  <si>
    <t>Deudas &amp; Varios</t>
  </si>
  <si>
    <t>TOTAL GASTOS</t>
  </si>
  <si>
    <t>💰 INGRESOS</t>
  </si>
  <si>
    <t>Ingresos Totales</t>
  </si>
  <si>
    <t>¿LLEGAMOS A PAGAR?</t>
  </si>
  <si>
    <t>Sueldo de Franco</t>
  </si>
  <si>
    <t>Sueldo de Abigail</t>
  </si>
  <si>
    <t>Aguinaldo Franco</t>
  </si>
  <si>
    <t>Aguinaldo Abigail</t>
  </si>
  <si>
    <t>Pago de negocio</t>
  </si>
  <si>
    <t>Ingreso por rendimientos</t>
  </si>
  <si>
    <t>Nos deben</t>
  </si>
  <si>
    <t>TOTAL</t>
  </si>
  <si>
    <t>💳 TARJETAS &amp; BANCOS</t>
  </si>
  <si>
    <t>Banco BBVA</t>
  </si>
  <si>
    <t>Banco Mercado Pago</t>
  </si>
  <si>
    <t>Préstamo BBVA</t>
  </si>
  <si>
    <t>Préstamo Naranja X</t>
  </si>
  <si>
    <t>Banco Naranja X</t>
  </si>
  <si>
    <t>Banco Santander</t>
  </si>
  <si>
    <t>Banco BNA (Franco)</t>
  </si>
  <si>
    <t>Banco BNA (Abi)</t>
  </si>
  <si>
    <t>-</t>
  </si>
  <si>
    <t>GO Cuotas (Abi)</t>
  </si>
  <si>
    <t>🎓 GASTOS PERSONALES</t>
  </si>
  <si>
    <t>Materias Abi</t>
  </si>
  <si>
    <t>Materias Franco</t>
  </si>
  <si>
    <t>Gimnasio Franco</t>
  </si>
  <si>
    <t>Gimnasio Abi</t>
  </si>
  <si>
    <t>Facultad Franco</t>
  </si>
  <si>
    <t>Facultad Abi</t>
  </si>
  <si>
    <t>Ciudadania Franco</t>
  </si>
  <si>
    <t>🏠 GASTOS DEL HOGAR</t>
  </si>
  <si>
    <t>Internet</t>
  </si>
  <si>
    <t>Expensas</t>
  </si>
  <si>
    <t>Electricidad</t>
  </si>
  <si>
    <t>Cuenta Corriente</t>
  </si>
  <si>
    <t>Línea Celular</t>
  </si>
  <si>
    <t>Transporte</t>
  </si>
  <si>
    <t>Impuesto Municipal</t>
  </si>
  <si>
    <t>Alquier (Agua y Cloaca)</t>
  </si>
  <si>
    <t>Alquiler</t>
  </si>
  <si>
    <t>Estacionamiento</t>
  </si>
  <si>
    <t>Seguro</t>
  </si>
  <si>
    <t>Rentas</t>
  </si>
  <si>
    <t>📋 DEUDAS &amp; GASTOS VARIOS</t>
  </si>
  <si>
    <t>Papá</t>
  </si>
  <si>
    <t>Juani</t>
  </si>
  <si>
    <t>Gastos Comida</t>
  </si>
  <si>
    <t>Entradas a casamiento</t>
  </si>
  <si>
    <t>Gastos Varios</t>
  </si>
  <si>
    <t>Mes adelantado + % contrato</t>
  </si>
  <si>
    <t>Diferencias de deudas</t>
  </si>
  <si>
    <t>📌 DATOS DE REFERENCIA - ALQUILERES</t>
  </si>
  <si>
    <t>Concepto</t>
  </si>
  <si>
    <t>Alquiler Actual</t>
  </si>
  <si>
    <t>Alquiler E. Vieja</t>
  </si>
  <si>
    <t>Diferencia</t>
  </si>
  <si>
    <t>🎯 PLAN DE OBJETIVOS FINANCIEROS — SECUENCIAL</t>
  </si>
  <si>
    <t>📐 SUPUESTO: Ahorro mensual destinado a objetivos</t>
  </si>
  <si>
    <t>Ahorro mensual ($)</t>
  </si>
  <si>
    <t>← Modificar cada mes según tu ahorro real</t>
  </si>
  <si>
    <t>OBJETIVO</t>
  </si>
  <si>
    <t>PRIORIDAD</t>
  </si>
  <si>
    <t>FECHA LIMITE</t>
  </si>
  <si>
    <t>MONTO META ($)</t>
  </si>
  <si>
    <t>YA AHORRADO ($)</t>
  </si>
  <si>
    <t>FALTANTE ($)</t>
  </si>
  <si>
    <t>% AVANCE</t>
  </si>
  <si>
    <t>MESES RESTANTES</t>
  </si>
  <si>
    <t>ESTADO</t>
  </si>
  <si>
    <t>CIUDADANÍA (TRADUCCIÓN)</t>
  </si>
  <si>
    <t>nov-26</t>
  </si>
  <si>
    <t>CIUDADANÍA (EMBAJADA)</t>
  </si>
  <si>
    <t>mar-27</t>
  </si>
  <si>
    <t>INVERSIÓN S&amp;P 500</t>
  </si>
  <si>
    <t>Sin fecha</t>
  </si>
  <si>
    <t>"-"</t>
  </si>
  <si>
    <t>TOTAL OBJETIVOS FIJOS</t>
  </si>
  <si>
    <t>📋 LÓGICA SECUENCIAL</t>
  </si>
  <si>
    <t>1. Ahorrás $200.000/mes → Traducción cubierta en ~2-3 meses (nov-26)</t>
  </si>
  <si>
    <t>2. Pagada la Traducción en nov-26 → seguís ahorrando $200.000/mes → Embajada cubierta en mar-27</t>
  </si>
  <si>
    <t>3. Cumplidos ambos objetivos → el ahorro mensual se destina libre a Inversión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</si>
</sst>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-;\-"/>
  </numFmts>
  <fonts count="1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375623"/>
      <name val="Arial"/>
      <charset val="1"/>
    </font>
    <font>
      <b/>
      <sz val="11"/>
      <color rgb="FF000000"/>
      <name val="Arial"/>
      <charset val="1"/>
    </font>
    <font>
      <b/>
      <sz val="13"/>
      <color rgb="FFFFFFFF"/>
      <name val="Arial"/>
      <charset val="1"/>
    </font>
    <font>
      <sz val="10"/>
      <color rgb="FF0000FF"/>
      <name val="Arial"/>
      <charset val="1"/>
    </font>
    <font>
      <sz val="10"/>
      <color rgb="FF808080"/>
      <name val="Arial"/>
      <charset val="1"/>
    </font>
    <font>
      <sz val="10"/>
      <color rgb="FF1F3864"/>
      <name val="Arial"/>
      <charset val="1"/>
    </font>
    <font>
      <b/>
      <sz val="10"/>
      <color theme="0"/>
      <name val="Arial"/>
      <charset val="1"/>
    </font>
    <font>
      <b/>
      <sz val="11"/>
      <color theme="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6E0EC"/>
      </patternFill>
    </fill>
    <fill>
      <patternFill patternType="solid">
        <fgColor rgb="FFD5E8D4"/>
        <bgColor rgb="FFD6E4F0"/>
      </patternFill>
    </fill>
    <fill>
      <patternFill patternType="solid">
        <fgColor rgb="FFFCE4D6"/>
        <bgColor rgb="FFFFE0E0"/>
      </patternFill>
    </fill>
    <fill>
      <patternFill patternType="solid">
        <fgColor rgb="FFEAD1DC"/>
        <bgColor rgb="FFE6E0EC"/>
      </patternFill>
    </fill>
    <fill>
      <patternFill patternType="solid">
        <fgColor rgb="FFE8E8E8"/>
        <bgColor rgb="FFE6E0EC"/>
      </patternFill>
    </fill>
    <fill>
      <patternFill patternType="solid">
        <fgColor rgb="FF1E5631"/>
        <bgColor rgb="FF375623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  <fill>
      <patternFill patternType="solid">
        <fgColor rgb="FF00695C"/>
        <bgColor rgb="FF008080"/>
      </patternFill>
    </fill>
    <fill>
      <patternFill patternType="solid">
        <fgColor rgb="FFB2DFDB"/>
        <bgColor rgb="FFB8D4E8"/>
      </patternFill>
    </fill>
    <fill>
      <patternFill patternType="solid">
        <fgColor rgb="FF4DB6AC"/>
        <bgColor rgb="FFAAAAAA"/>
      </patternFill>
    </fill>
    <fill>
      <patternFill patternType="solid">
        <fgColor rgb="FFB8D4E8"/>
        <bgColor rgb="FFB2DFDB"/>
      </patternFill>
    </fill>
    <fill>
      <patternFill patternType="solid">
        <fgColor rgb="FFA8D4A8"/>
        <bgColor rgb="FFB2DFDB"/>
      </patternFill>
    </fill>
    <fill>
      <patternFill patternType="solid">
        <fgColor rgb="FFC65911"/>
        <bgColor rgb="FF993300"/>
      </patternFill>
    </fill>
    <fill>
      <patternFill patternType="solid">
        <fgColor theme="7" tint="0.79989013336588644"/>
        <bgColor rgb="FFE8E8E8"/>
      </patternFill>
    </fill>
    <fill>
      <patternFill patternType="solid">
        <fgColor rgb="FFF4C4A0"/>
        <bgColor rgb="FFFFC7CE"/>
      </patternFill>
    </fill>
    <fill>
      <patternFill patternType="solid">
        <fgColor rgb="FF4B0082"/>
        <bgColor rgb="FF800080"/>
      </patternFill>
    </fill>
    <fill>
      <patternFill patternType="solid">
        <fgColor rgb="FFD4A8C8"/>
        <bgColor rgb="FFAAAAAA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164" fontId="8" fillId="11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left" vertical="center"/>
    </xf>
    <xf numFmtId="164" fontId="5" fillId="13" borderId="1" xfId="0" applyNumberFormat="1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left" vertical="center"/>
    </xf>
    <xf numFmtId="164" fontId="4" fillId="1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164" fontId="7" fillId="1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164" fontId="7" fillId="1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164" fontId="5" fillId="18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left" vertical="center"/>
    </xf>
    <xf numFmtId="164" fontId="7" fillId="19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164" fontId="7" fillId="21" borderId="1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15" fillId="22" borderId="1" xfId="0" applyFont="1" applyFill="1" applyBorder="1" applyAlignment="1">
      <alignment horizontal="left" vertical="center"/>
    </xf>
    <xf numFmtId="164" fontId="15" fillId="22" borderId="1" xfId="0" applyNumberFormat="1" applyFont="1" applyFill="1" applyBorder="1" applyAlignment="1">
      <alignment horizontal="right" vertical="center"/>
    </xf>
    <xf numFmtId="0" fontId="16" fillId="22" borderId="0" xfId="0" applyFont="1" applyFill="1"/>
    <xf numFmtId="0" fontId="5" fillId="23" borderId="1" xfId="0" applyFont="1" applyFill="1" applyBorder="1" applyAlignment="1">
      <alignment horizontal="left" vertical="center"/>
    </xf>
    <xf numFmtId="164" fontId="5" fillId="2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17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20" borderId="0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C00000"/>
      </font>
    </dxf>
    <dxf>
      <font>
        <b/>
        <sz val="9"/>
        <color rgb="FFFFFFFF"/>
        <name val="Arial"/>
        <charset val="1"/>
      </font>
      <fill>
        <patternFill>
          <bgColor rgb="FFFFC000"/>
        </patternFill>
      </fill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0E0"/>
      <rgbColor rgb="FFFF00FF"/>
      <rgbColor rgb="FF00FFFF"/>
      <rgbColor rgb="FF9C0006"/>
      <rgbColor rgb="FF006100"/>
      <rgbColor rgb="FF000080"/>
      <rgbColor rgb="FF808000"/>
      <rgbColor rgb="FF800080"/>
      <rgbColor rgb="FF00695C"/>
      <rgbColor rgb="FFD4A8C8"/>
      <rgbColor rgb="FF808080"/>
      <rgbColor rgb="FFA8D4A8"/>
      <rgbColor rgb="FF993366"/>
      <rgbColor rgb="FFFFF2CC"/>
      <rgbColor rgb="FFD6E4F0"/>
      <rgbColor rgb="FF4B0082"/>
      <rgbColor rgb="FFE6E0EC"/>
      <rgbColor rgb="FF0066CC"/>
      <rgbColor rgb="FFB8D4E8"/>
      <rgbColor rgb="FF000080"/>
      <rgbColor rgb="FFFF00FF"/>
      <rgbColor rgb="FFE8E8E8"/>
      <rgbColor rgb="FF00FFFF"/>
      <rgbColor rgb="FF800080"/>
      <rgbColor rgb="FF800000"/>
      <rgbColor rgb="FF008080"/>
      <rgbColor rgb="FF0000FF"/>
      <rgbColor rgb="FF00CCFF"/>
      <rgbColor rgb="FFD5E8D4"/>
      <rgbColor rgb="FFC6EFCE"/>
      <rgbColor rgb="FFFCE4D6"/>
      <rgbColor rgb="FFB2DFDB"/>
      <rgbColor rgb="FFFFC7CE"/>
      <rgbColor rgb="FFEAD1DC"/>
      <rgbColor rgb="FFF4C4A0"/>
      <rgbColor rgb="FF3366FF"/>
      <rgbColor rgb="FF4DB6AC"/>
      <rgbColor rgb="FF99CC00"/>
      <rgbColor rgb="FFFFC000"/>
      <rgbColor rgb="FFFF9900"/>
      <rgbColor rgb="FFC65911"/>
      <rgbColor rgb="FF666699"/>
      <rgbColor rgb="FFAAAAAA"/>
      <rgbColor rgb="FF1F3864"/>
      <rgbColor rgb="FF00B050"/>
      <rgbColor rgb="FF003300"/>
      <rgbColor rgb="FF1E5631"/>
      <rgbColor rgb="FF993300"/>
      <rgbColor rgb="FF993366"/>
      <rgbColor rgb="FF2E5090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"/>
  <sheetViews>
    <sheetView zoomScaleNormal="100" workbookViewId="0">
      <pane xSplit="1" ySplit="2" topLeftCell="U3" activePane="bottomRight" state="frozen"/>
      <selection pane="bottomRight" activeCell="AD6" sqref="AD6"/>
      <selection pane="bottomLeft" activeCell="A3" sqref="A3"/>
      <selection pane="topRight" activeCell="N1" sqref="N1"/>
    </sheetView>
  </sheetViews>
  <sheetFormatPr defaultColWidth="8.7109375" defaultRowHeight="15"/>
  <cols>
    <col min="1" max="1" width="28" style="1" customWidth="1"/>
    <col min="2" max="45" width="14" style="1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59" t="s">
        <v>48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</row>
    <row r="4" spans="1:45" ht="18" customHeight="1">
      <c r="A4" s="4" t="s">
        <v>49</v>
      </c>
      <c r="B4" s="5">
        <f>Tarjetas_Bancos!B13</f>
        <v>-2307584.0099999998</v>
      </c>
      <c r="C4" s="5">
        <f>Tarjetas_Bancos!C13</f>
        <v>-1341061.69</v>
      </c>
      <c r="D4" s="5">
        <f>Tarjetas_Bancos!D13</f>
        <v>-2287461.69</v>
      </c>
      <c r="E4" s="5">
        <f>Tarjetas_Bancos!E13</f>
        <v>-2689870</v>
      </c>
      <c r="F4" s="5">
        <f>Tarjetas_Bancos!F13</f>
        <v>-2153870</v>
      </c>
      <c r="G4" s="5">
        <f>Tarjetas_Bancos!G13</f>
        <v>-2806870</v>
      </c>
      <c r="H4" s="5">
        <f>Tarjetas_Bancos!H13</f>
        <v>-6759277</v>
      </c>
      <c r="I4" s="5">
        <f>Tarjetas_Bancos!I13</f>
        <v>-1860000</v>
      </c>
      <c r="J4" s="5">
        <f>Tarjetas_Bancos!J13</f>
        <v>-2744000</v>
      </c>
      <c r="K4" s="5">
        <f>Tarjetas_Bancos!K13</f>
        <v>-2611000</v>
      </c>
      <c r="L4" s="5">
        <f>Tarjetas_Bancos!L13</f>
        <v>-1161000</v>
      </c>
      <c r="M4" s="5">
        <f>Tarjetas_Bancos!M13</f>
        <v>-938000</v>
      </c>
      <c r="N4" s="5">
        <f>Tarjetas_Bancos!N13</f>
        <v>-1124000</v>
      </c>
      <c r="O4" s="5">
        <f>Tarjetas_Bancos!O13</f>
        <v>-575000</v>
      </c>
      <c r="P4" s="5">
        <f>Tarjetas_Bancos!P13</f>
        <v>-844000</v>
      </c>
      <c r="Q4" s="5">
        <f>Tarjetas_Bancos!Q13</f>
        <v>-897000</v>
      </c>
      <c r="R4" s="5">
        <f>Tarjetas_Bancos!R13</f>
        <v>-1214000</v>
      </c>
      <c r="S4" s="5">
        <f>Tarjetas_Bancos!S13</f>
        <v>-839000</v>
      </c>
      <c r="T4" s="5">
        <f>Tarjetas_Bancos!T13</f>
        <v>-1033000</v>
      </c>
      <c r="U4" s="5">
        <f>Tarjetas_Bancos!U13</f>
        <v>-1019000</v>
      </c>
      <c r="V4" s="5">
        <f>Tarjetas_Bancos!V13</f>
        <v>-543000</v>
      </c>
      <c r="W4" s="5">
        <f>Tarjetas_Bancos!W13</f>
        <v>-143000</v>
      </c>
      <c r="X4" s="5">
        <f>Tarjetas_Bancos!X13</f>
        <v>-143000</v>
      </c>
      <c r="Y4" s="5">
        <f>Tarjetas_Bancos!Y13</f>
        <v>-143000</v>
      </c>
      <c r="Z4" s="5">
        <f>Tarjetas_Bancos!Z13</f>
        <v>-143000</v>
      </c>
      <c r="AA4" s="5">
        <f>Tarjetas_Bancos!AA13</f>
        <v>-143000</v>
      </c>
      <c r="AB4" s="5">
        <f>Tarjetas_Bancos!AB13</f>
        <v>-143000</v>
      </c>
      <c r="AC4" s="5">
        <f>Tarjetas_Bancos!AC13</f>
        <v>-143000</v>
      </c>
      <c r="AD4" s="5">
        <f>Tarjetas_Bancos!AD13</f>
        <v>-143000</v>
      </c>
      <c r="AE4" s="5">
        <f>Tarjetas_Bancos!AE13</f>
        <v>-143000</v>
      </c>
      <c r="AF4" s="5">
        <f>Tarjetas_Bancos!AF13</f>
        <v>-143000</v>
      </c>
      <c r="AG4" s="5">
        <f>Tarjetas_Bancos!AG13</f>
        <v>-143000</v>
      </c>
      <c r="AH4" s="5">
        <f>Tarjetas_Bancos!AH13</f>
        <v>-143000</v>
      </c>
      <c r="AI4" s="5">
        <f>Tarjetas_Bancos!AI13</f>
        <v>-143000</v>
      </c>
      <c r="AJ4" s="5">
        <f>Tarjetas_Bancos!AJ13</f>
        <v>0</v>
      </c>
      <c r="AK4" s="5">
        <f>Tarjetas_Bancos!AK13</f>
        <v>0</v>
      </c>
      <c r="AL4" s="5">
        <f>Tarjetas_Bancos!AL13</f>
        <v>0</v>
      </c>
      <c r="AM4" s="5">
        <f>Tarjetas_Bancos!AM13</f>
        <v>0</v>
      </c>
      <c r="AN4" s="5">
        <f>Tarjetas_Bancos!AN13</f>
        <v>0</v>
      </c>
      <c r="AO4" s="5">
        <f>Tarjetas_Bancos!AO13</f>
        <v>0</v>
      </c>
      <c r="AP4" s="5">
        <f>Tarjetas_Bancos!AP13</f>
        <v>0</v>
      </c>
      <c r="AQ4" s="5">
        <f>Tarjetas_Bancos!AQ13</f>
        <v>0</v>
      </c>
      <c r="AR4" s="5">
        <f>Tarjetas_Bancos!AR13</f>
        <v>0</v>
      </c>
      <c r="AS4" s="5">
        <f>Tarjetas_Bancos!AS13</f>
        <v>0</v>
      </c>
    </row>
    <row r="5" spans="1:45" ht="18" customHeight="1">
      <c r="A5" s="6" t="s">
        <v>50</v>
      </c>
      <c r="B5" s="7">
        <f>Gastos_Personales!B11</f>
        <v>0</v>
      </c>
      <c r="C5" s="7">
        <f>Gastos_Personales!C11</f>
        <v>0</v>
      </c>
      <c r="D5" s="7">
        <f>Gastos_Personales!D11</f>
        <v>0</v>
      </c>
      <c r="E5" s="7">
        <f>Gastos_Personales!E11</f>
        <v>0</v>
      </c>
      <c r="F5" s="7">
        <f>Gastos_Personales!F11</f>
        <v>0</v>
      </c>
      <c r="G5" s="7">
        <f>Gastos_Personales!G11</f>
        <v>0</v>
      </c>
      <c r="H5" s="7">
        <f>Gastos_Personales!H11</f>
        <v>0</v>
      </c>
      <c r="I5" s="7">
        <f>Gastos_Personales!I11</f>
        <v>-70000</v>
      </c>
      <c r="J5" s="7">
        <f>Gastos_Personales!J11</f>
        <v>0</v>
      </c>
      <c r="K5" s="7">
        <f>Gastos_Personales!K11</f>
        <v>0</v>
      </c>
      <c r="L5" s="7">
        <f>Gastos_Personales!L11</f>
        <v>0</v>
      </c>
      <c r="M5" s="7">
        <f>Gastos_Personales!M11</f>
        <v>-39000</v>
      </c>
      <c r="N5" s="7">
        <f>Gastos_Personales!N11</f>
        <v>-39000</v>
      </c>
      <c r="O5" s="7">
        <f>Gastos_Personales!O11</f>
        <v>0</v>
      </c>
      <c r="P5" s="7">
        <f>Gastos_Personales!P11</f>
        <v>0</v>
      </c>
      <c r="Q5" s="7">
        <f>Gastos_Personales!Q11</f>
        <v>-180000</v>
      </c>
      <c r="R5" s="7">
        <f>Gastos_Personales!R11</f>
        <v>-180000</v>
      </c>
      <c r="S5" s="7">
        <f>Gastos_Personales!S11</f>
        <v>-390000</v>
      </c>
      <c r="T5" s="7">
        <f>Gastos_Personales!T11</f>
        <v>-390000</v>
      </c>
      <c r="U5" s="7">
        <f>Gastos_Personales!U11</f>
        <v>-195000</v>
      </c>
      <c r="V5" s="7">
        <f>Gastos_Personales!V11</f>
        <v>-845000</v>
      </c>
      <c r="W5" s="7">
        <f>Gastos_Personales!W11</f>
        <v>-200000</v>
      </c>
      <c r="X5" s="7">
        <f>Gastos_Personales!X11</f>
        <v>-200000</v>
      </c>
      <c r="Y5" s="7">
        <f>Gastos_Personales!Y11</f>
        <v>-200000</v>
      </c>
      <c r="Z5" s="7">
        <f>Gastos_Personales!Z11</f>
        <v>-600000</v>
      </c>
      <c r="AA5" s="7">
        <f>Gastos_Personales!AA11</f>
        <v>-200000</v>
      </c>
      <c r="AB5" s="7">
        <f>Gastos_Personales!AB11</f>
        <v>-200000</v>
      </c>
      <c r="AC5" s="7">
        <f>Gastos_Personales!AC11</f>
        <v>-200000</v>
      </c>
      <c r="AD5" s="7">
        <f>Gastos_Personales!AD11</f>
        <v>0</v>
      </c>
      <c r="AE5" s="7">
        <f>Gastos_Personales!AE11</f>
        <v>0</v>
      </c>
      <c r="AF5" s="7">
        <f>Gastos_Personales!AF11</f>
        <v>0</v>
      </c>
      <c r="AG5" s="7">
        <f>Gastos_Personales!AG11</f>
        <v>0</v>
      </c>
      <c r="AH5" s="7">
        <f>Gastos_Personales!AH11</f>
        <v>0</v>
      </c>
      <c r="AI5" s="7">
        <f>Gastos_Personales!AI11</f>
        <v>0</v>
      </c>
      <c r="AJ5" s="7">
        <f>Gastos_Personales!AJ11</f>
        <v>0</v>
      </c>
      <c r="AK5" s="7">
        <f>Gastos_Personales!AK11</f>
        <v>0</v>
      </c>
      <c r="AL5" s="7">
        <f>Gastos_Personales!AL11</f>
        <v>0</v>
      </c>
      <c r="AM5" s="7">
        <f>Gastos_Personales!AM11</f>
        <v>0</v>
      </c>
      <c r="AN5" s="7">
        <f>Gastos_Personales!AN11</f>
        <v>0</v>
      </c>
      <c r="AO5" s="7">
        <f>Gastos_Personales!AO11</f>
        <v>0</v>
      </c>
      <c r="AP5" s="7">
        <f>Gastos_Personales!AP11</f>
        <v>0</v>
      </c>
      <c r="AQ5" s="7">
        <f>Gastos_Personales!AQ11</f>
        <v>0</v>
      </c>
      <c r="AR5" s="7">
        <f>Gastos_Personales!AR11</f>
        <v>0</v>
      </c>
      <c r="AS5" s="7">
        <f>Gastos_Personales!AS11</f>
        <v>0</v>
      </c>
    </row>
    <row r="6" spans="1:45" ht="18" customHeight="1">
      <c r="A6" s="8" t="s">
        <v>51</v>
      </c>
      <c r="B6" s="9">
        <f>Hogar!B16</f>
        <v>0</v>
      </c>
      <c r="C6" s="9">
        <f>Hogar!C16</f>
        <v>0</v>
      </c>
      <c r="D6" s="9">
        <f>Hogar!D16</f>
        <v>0</v>
      </c>
      <c r="E6" s="9">
        <f>Hogar!E16</f>
        <v>-24000</v>
      </c>
      <c r="F6" s="9">
        <f>Hogar!F16</f>
        <v>-627000</v>
      </c>
      <c r="G6" s="9">
        <f>Hogar!G16</f>
        <v>-611200</v>
      </c>
      <c r="H6" s="9">
        <f>Hogar!H16</f>
        <v>-810800</v>
      </c>
      <c r="I6" s="9">
        <f>Hogar!I16</f>
        <v>-822060</v>
      </c>
      <c r="J6" s="9">
        <f>Hogar!J16</f>
        <v>-812160</v>
      </c>
      <c r="K6" s="9">
        <f>Hogar!K16</f>
        <v>-853360</v>
      </c>
      <c r="L6" s="9">
        <f>Hogar!L16</f>
        <v>-807000</v>
      </c>
      <c r="M6" s="9">
        <f>Hogar!M16</f>
        <v>-922600</v>
      </c>
      <c r="N6" s="9">
        <f>Hogar!N16</f>
        <v>-902804</v>
      </c>
      <c r="O6" s="9">
        <f>Hogar!O16</f>
        <v>-847601.26</v>
      </c>
      <c r="P6" s="9">
        <f>Hogar!P16</f>
        <v>-858601.26</v>
      </c>
      <c r="Q6" s="9">
        <f>Hogar!Q16</f>
        <v>-831481.26</v>
      </c>
      <c r="R6" s="9">
        <f>Hogar!R16</f>
        <v>-932181.26</v>
      </c>
      <c r="S6" s="9">
        <f>Hogar!S16</f>
        <v>-893660.26</v>
      </c>
      <c r="T6" s="9">
        <f>Hogar!T16</f>
        <v>-924943.26</v>
      </c>
      <c r="U6" s="9">
        <f>Hogar!U16</f>
        <v>-959943.26</v>
      </c>
      <c r="V6" s="9">
        <f>Hogar!V16</f>
        <v>-944943.26</v>
      </c>
      <c r="W6" s="9">
        <f>Hogar!W16</f>
        <v>-945943.26</v>
      </c>
      <c r="X6" s="9">
        <f>Hogar!X16</f>
        <v>-972943.26</v>
      </c>
      <c r="Y6" s="9">
        <f>Hogar!Y16</f>
        <v>-973943.26</v>
      </c>
      <c r="Z6" s="9">
        <f>Hogar!Z16</f>
        <v>-973943.26</v>
      </c>
      <c r="AA6" s="9">
        <f>Hogar!AA16</f>
        <v>-1004943.26</v>
      </c>
      <c r="AB6" s="9">
        <f>Hogar!AB16</f>
        <v>-1004943.26</v>
      </c>
      <c r="AC6" s="9">
        <f>Hogar!AC16</f>
        <v>-1005943.26</v>
      </c>
      <c r="AD6" s="9">
        <f>Hogar!AD16</f>
        <v>0</v>
      </c>
      <c r="AE6" s="9">
        <f>Hogar!AE16</f>
        <v>0</v>
      </c>
      <c r="AF6" s="9">
        <f>Hogar!AF16</f>
        <v>0</v>
      </c>
      <c r="AG6" s="9">
        <f>Hogar!AG16</f>
        <v>0</v>
      </c>
      <c r="AH6" s="9">
        <f>Hogar!AH16</f>
        <v>0</v>
      </c>
      <c r="AI6" s="9">
        <f>Hogar!AI16</f>
        <v>0</v>
      </c>
      <c r="AJ6" s="9">
        <f>Hogar!AJ16</f>
        <v>0</v>
      </c>
      <c r="AK6" s="9">
        <f>Hogar!AK16</f>
        <v>0</v>
      </c>
      <c r="AL6" s="9">
        <f>Hogar!AL16</f>
        <v>0</v>
      </c>
      <c r="AM6" s="9">
        <f>Hogar!AM16</f>
        <v>0</v>
      </c>
      <c r="AN6" s="9">
        <f>Hogar!AN16</f>
        <v>0</v>
      </c>
      <c r="AO6" s="9">
        <f>Hogar!AO16</f>
        <v>0</v>
      </c>
      <c r="AP6" s="9">
        <f>Hogar!AP16</f>
        <v>0</v>
      </c>
      <c r="AQ6" s="9">
        <f>Hogar!AQ16</f>
        <v>0</v>
      </c>
      <c r="AR6" s="9">
        <f>Hogar!AR16</f>
        <v>0</v>
      </c>
      <c r="AS6" s="9">
        <f>Hogar!AS16</f>
        <v>0</v>
      </c>
    </row>
    <row r="7" spans="1:45" ht="18" customHeight="1">
      <c r="A7" s="10" t="s">
        <v>52</v>
      </c>
      <c r="B7" s="11">
        <f>Deudas_Varios!B11</f>
        <v>0</v>
      </c>
      <c r="C7" s="11">
        <f>Deudas_Varios!C11</f>
        <v>0</v>
      </c>
      <c r="D7" s="11">
        <f>Deudas_Varios!D11</f>
        <v>0</v>
      </c>
      <c r="E7" s="11">
        <f>Deudas_Varios!E11</f>
        <v>0</v>
      </c>
      <c r="F7" s="11">
        <f>Deudas_Varios!F11</f>
        <v>-760000</v>
      </c>
      <c r="G7" s="11">
        <f>Deudas_Varios!G11</f>
        <v>0</v>
      </c>
      <c r="H7" s="11">
        <f>Deudas_Varios!H11</f>
        <v>0</v>
      </c>
      <c r="I7" s="11">
        <f>Deudas_Varios!I11</f>
        <v>0</v>
      </c>
      <c r="J7" s="11">
        <f>Deudas_Varios!J11</f>
        <v>0</v>
      </c>
      <c r="K7" s="11">
        <f>Deudas_Varios!K11</f>
        <v>-300000</v>
      </c>
      <c r="L7" s="11">
        <f>Deudas_Varios!L11</f>
        <v>0</v>
      </c>
      <c r="M7" s="11">
        <f>Deudas_Varios!M11</f>
        <v>-492399</v>
      </c>
      <c r="N7" s="11">
        <f>Deudas_Varios!N11</f>
        <v>-684195</v>
      </c>
      <c r="O7" s="11">
        <f>Deudas_Varios!O11</f>
        <v>0</v>
      </c>
      <c r="P7" s="11">
        <f>Deudas_Varios!P11</f>
        <v>0</v>
      </c>
      <c r="Q7" s="11">
        <f>Deudas_Varios!Q11</f>
        <v>-85000</v>
      </c>
      <c r="R7" s="11">
        <f>Deudas_Varios!R11</f>
        <v>-70000</v>
      </c>
      <c r="S7" s="11">
        <f>Deudas_Varios!S11</f>
        <v>-70000</v>
      </c>
      <c r="T7" s="11">
        <f>Deudas_Varios!T11</f>
        <v>-270000</v>
      </c>
      <c r="U7" s="11">
        <f>Deudas_Varios!U11</f>
        <v>-70000</v>
      </c>
      <c r="V7" s="11">
        <f>Deudas_Varios!V11</f>
        <v>-70000</v>
      </c>
      <c r="W7" s="11">
        <f>Deudas_Varios!W11</f>
        <v>0</v>
      </c>
      <c r="X7" s="11">
        <f>Deudas_Varios!X11</f>
        <v>0</v>
      </c>
      <c r="Y7" s="11">
        <f>Deudas_Varios!Y11</f>
        <v>0</v>
      </c>
      <c r="Z7" s="11">
        <f>Deudas_Varios!Z11</f>
        <v>-400000</v>
      </c>
      <c r="AA7" s="11">
        <f>Deudas_Varios!AA11</f>
        <v>0</v>
      </c>
      <c r="AB7" s="11">
        <f>Deudas_Varios!AB11</f>
        <v>0</v>
      </c>
      <c r="AC7" s="11">
        <f>Deudas_Varios!AC11</f>
        <v>0</v>
      </c>
      <c r="AD7" s="11">
        <f>Deudas_Varios!AD11</f>
        <v>0</v>
      </c>
      <c r="AE7" s="11">
        <f>Deudas_Varios!AE11</f>
        <v>0</v>
      </c>
      <c r="AF7" s="11">
        <f>Deudas_Varios!AF11</f>
        <v>0</v>
      </c>
      <c r="AG7" s="11">
        <f>Deudas_Varios!AG11</f>
        <v>0</v>
      </c>
      <c r="AH7" s="11">
        <f>Deudas_Varios!AH11</f>
        <v>0</v>
      </c>
      <c r="AI7" s="11">
        <f>Deudas_Varios!AI11</f>
        <v>0</v>
      </c>
      <c r="AJ7" s="11">
        <f>Deudas_Varios!AJ11</f>
        <v>0</v>
      </c>
      <c r="AK7" s="11">
        <f>Deudas_Varios!AK11</f>
        <v>0</v>
      </c>
      <c r="AL7" s="11">
        <f>Deudas_Varios!AL11</f>
        <v>0</v>
      </c>
      <c r="AM7" s="11">
        <f>Deudas_Varios!AM11</f>
        <v>0</v>
      </c>
      <c r="AN7" s="11">
        <f>Deudas_Varios!AN11</f>
        <v>0</v>
      </c>
      <c r="AO7" s="11">
        <f>Deudas_Varios!AO11</f>
        <v>0</v>
      </c>
      <c r="AP7" s="11">
        <f>Deudas_Varios!AP11</f>
        <v>0</v>
      </c>
      <c r="AQ7" s="11">
        <f>Deudas_Varios!AQ11</f>
        <v>0</v>
      </c>
      <c r="AR7" s="11">
        <f>Deudas_Varios!AR11</f>
        <v>0</v>
      </c>
      <c r="AS7" s="11">
        <f>Deudas_Varios!AS11</f>
        <v>0</v>
      </c>
    </row>
    <row r="8" spans="1:45" ht="15" customHeight="1">
      <c r="A8" s="12" t="s">
        <v>53</v>
      </c>
      <c r="B8" s="13">
        <f>SUM(B4:B7)</f>
        <v>-2307584.0099999998</v>
      </c>
      <c r="C8" s="13">
        <f>SUM(C4:C7)</f>
        <v>-1341061.69</v>
      </c>
      <c r="D8" s="13">
        <f>SUM(D4:D7)</f>
        <v>-2287461.69</v>
      </c>
      <c r="E8" s="13">
        <f>SUM(E4:E7)</f>
        <v>-2713870</v>
      </c>
      <c r="F8" s="13">
        <f>SUM(F4:F7)</f>
        <v>-3540870</v>
      </c>
      <c r="G8" s="13">
        <f>SUM(G4:G7)</f>
        <v>-3418070</v>
      </c>
      <c r="H8" s="13">
        <f>SUM(H4:H7)</f>
        <v>-7570077</v>
      </c>
      <c r="I8" s="13">
        <f>SUM(I4:I7)</f>
        <v>-2752060</v>
      </c>
      <c r="J8" s="13">
        <f>SUM(J4:J7)</f>
        <v>-3556160</v>
      </c>
      <c r="K8" s="13">
        <f>SUM(K4:K7)</f>
        <v>-3764360</v>
      </c>
      <c r="L8" s="13">
        <f>SUM(L4:L7)</f>
        <v>-1968000</v>
      </c>
      <c r="M8" s="13">
        <f>SUM(M4:M7)</f>
        <v>-2391999</v>
      </c>
      <c r="N8" s="13">
        <f>SUM(N4:N7)</f>
        <v>-2749999</v>
      </c>
      <c r="O8" s="13">
        <f>SUM(O4:O7)</f>
        <v>-1422601.26</v>
      </c>
      <c r="P8" s="13">
        <f>SUM(P4:P7)</f>
        <v>-1702601.26</v>
      </c>
      <c r="Q8" s="13">
        <f>SUM(Q4:Q7)</f>
        <v>-1993481.26</v>
      </c>
      <c r="R8" s="13">
        <f>SUM(R4:R7)</f>
        <v>-2396181.2599999998</v>
      </c>
      <c r="S8" s="13">
        <f>SUM(S4:S7)</f>
        <v>-2192660.2599999998</v>
      </c>
      <c r="T8" s="13">
        <f>SUM(T4:T7)</f>
        <v>-2617943.2599999998</v>
      </c>
      <c r="U8" s="13">
        <f>SUM(U4:U7)</f>
        <v>-2243943.2599999998</v>
      </c>
      <c r="V8" s="13">
        <f>SUM(V4:V7)</f>
        <v>-2402943.2599999998</v>
      </c>
      <c r="W8" s="13">
        <f>SUM(W4:W7)</f>
        <v>-1288943.26</v>
      </c>
      <c r="X8" s="13">
        <f>SUM(X4:X7)</f>
        <v>-1315943.26</v>
      </c>
      <c r="Y8" s="13">
        <f>SUM(Y4:Y7)</f>
        <v>-1316943.26</v>
      </c>
      <c r="Z8" s="13">
        <f>SUM(Z4:Z7)</f>
        <v>-2116943.2599999998</v>
      </c>
      <c r="AA8" s="13">
        <f>SUM(AA4:AA7)</f>
        <v>-1347943.26</v>
      </c>
      <c r="AB8" s="13">
        <f>SUM(AB4:AB7)</f>
        <v>-1347943.26</v>
      </c>
      <c r="AC8" s="13">
        <f>SUM(AC4:AC7)</f>
        <v>-1348943.26</v>
      </c>
      <c r="AD8" s="13">
        <f>SUM(AD4:AD7)</f>
        <v>-143000</v>
      </c>
      <c r="AE8" s="13">
        <f>SUM(AE4:AE7)</f>
        <v>-143000</v>
      </c>
      <c r="AF8" s="13">
        <f>SUM(AF4:AF7)</f>
        <v>-143000</v>
      </c>
      <c r="AG8" s="13">
        <f>SUM(AG4:AG7)</f>
        <v>-143000</v>
      </c>
      <c r="AH8" s="13">
        <f>SUM(AH4:AH7)</f>
        <v>-143000</v>
      </c>
      <c r="AI8" s="13">
        <f>SUM(AI4:AI7)</f>
        <v>-143000</v>
      </c>
      <c r="AJ8" s="13">
        <f>SUM(AJ4:AJ7)</f>
        <v>0</v>
      </c>
      <c r="AK8" s="13">
        <f>SUM(AK4:AK7)</f>
        <v>0</v>
      </c>
      <c r="AL8" s="13">
        <f>SUM(AL4:AL7)</f>
        <v>0</v>
      </c>
      <c r="AM8" s="13">
        <f>SUM(AM4:AM7)</f>
        <v>0</v>
      </c>
      <c r="AN8" s="13">
        <f>SUM(AN4:AN7)</f>
        <v>0</v>
      </c>
      <c r="AO8" s="13">
        <f>SUM(AO4:AO7)</f>
        <v>0</v>
      </c>
      <c r="AP8" s="13">
        <f>SUM(AP4:AP7)</f>
        <v>0</v>
      </c>
      <c r="AQ8" s="13">
        <f>SUM(AQ4:AQ7)</f>
        <v>0</v>
      </c>
      <c r="AR8" s="13">
        <f>SUM(AR4:AR7)</f>
        <v>0</v>
      </c>
      <c r="AS8" s="13">
        <f>SUM(AS4:AS7)</f>
        <v>0</v>
      </c>
    </row>
    <row r="9" spans="1:45" ht="19.5" customHeight="1">
      <c r="A9" s="60" t="s">
        <v>54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</row>
    <row r="10" spans="1:45" ht="18" customHeight="1">
      <c r="A10" s="14" t="s">
        <v>55</v>
      </c>
      <c r="B10" s="15">
        <f>Ingresos!B11</f>
        <v>1100000</v>
      </c>
      <c r="C10" s="15">
        <f>Ingresos!C11</f>
        <v>1100000</v>
      </c>
      <c r="D10" s="15">
        <f>Ingresos!D11</f>
        <v>1100000</v>
      </c>
      <c r="E10" s="15">
        <f>Ingresos!E11</f>
        <v>1230000</v>
      </c>
      <c r="F10" s="15">
        <f>Ingresos!F11</f>
        <v>1760000</v>
      </c>
      <c r="G10" s="15">
        <f>Ingresos!G11</f>
        <v>1215000</v>
      </c>
      <c r="H10" s="15">
        <f>Ingresos!H11</f>
        <v>7225000</v>
      </c>
      <c r="I10" s="15">
        <f>Ingresos!I11</f>
        <v>1285000</v>
      </c>
      <c r="J10" s="15">
        <f>Ingresos!J11</f>
        <v>1265000</v>
      </c>
      <c r="K10" s="15">
        <f>Ingresos!K11</f>
        <v>1215000</v>
      </c>
      <c r="L10" s="15">
        <f>Ingresos!L11</f>
        <v>2235000</v>
      </c>
      <c r="M10" s="15">
        <f>Ingresos!M11</f>
        <v>2392000</v>
      </c>
      <c r="N10" s="15">
        <f>Ingresos!N11</f>
        <v>2750000</v>
      </c>
      <c r="O10" s="15">
        <f>Ingresos!O11</f>
        <v>1450000</v>
      </c>
      <c r="P10" s="15">
        <f>Ingresos!P11</f>
        <v>1400000</v>
      </c>
      <c r="Q10" s="15">
        <f>Ingresos!Q11</f>
        <v>2520000</v>
      </c>
      <c r="R10" s="15">
        <f>Ingresos!R11</f>
        <v>3447000</v>
      </c>
      <c r="S10" s="15">
        <f>Ingresos!S11</f>
        <v>2490000</v>
      </c>
      <c r="T10" s="15">
        <f>Ingresos!T11</f>
        <v>2760000</v>
      </c>
      <c r="U10" s="15">
        <f>Ingresos!U11</f>
        <v>2499000</v>
      </c>
      <c r="V10" s="15">
        <f>Ingresos!V11</f>
        <v>2905000</v>
      </c>
      <c r="W10" s="15">
        <f>Ingresos!W11</f>
        <v>2905000</v>
      </c>
      <c r="X10" s="15">
        <f>Ingresos!X11</f>
        <v>4005000</v>
      </c>
      <c r="Y10" s="15">
        <f>Ingresos!Y11</f>
        <v>2905000</v>
      </c>
      <c r="Z10" s="15">
        <f>Ingresos!Z11</f>
        <v>2905000</v>
      </c>
      <c r="AA10" s="15">
        <f>Ingresos!AA11</f>
        <v>2905000</v>
      </c>
      <c r="AB10" s="15">
        <f>Ingresos!AB11</f>
        <v>2905000</v>
      </c>
      <c r="AC10" s="15">
        <f>Ingresos!AC11</f>
        <v>2905000</v>
      </c>
      <c r="AD10" s="15">
        <f>Ingresos!AD11</f>
        <v>4380000</v>
      </c>
      <c r="AE10" s="15">
        <f>Ingresos!AE11</f>
        <v>2905000</v>
      </c>
      <c r="AF10" s="15">
        <f>Ingresos!AF11</f>
        <v>2905000</v>
      </c>
      <c r="AG10" s="15">
        <f>Ingresos!AG11</f>
        <v>2905000</v>
      </c>
      <c r="AH10" s="15">
        <f>Ingresos!AH11</f>
        <v>2905000</v>
      </c>
      <c r="AI10" s="15">
        <f>Ingresos!AI11</f>
        <v>2905000</v>
      </c>
      <c r="AJ10" s="15">
        <f>Ingresos!AJ11</f>
        <v>0</v>
      </c>
      <c r="AK10" s="15">
        <f>Ingresos!AK11</f>
        <v>0</v>
      </c>
      <c r="AL10" s="15">
        <f>Ingresos!AL11</f>
        <v>0</v>
      </c>
      <c r="AM10" s="15">
        <f>Ingresos!AM11</f>
        <v>0</v>
      </c>
      <c r="AN10" s="15">
        <f>Ingresos!AN11</f>
        <v>0</v>
      </c>
      <c r="AO10" s="15">
        <f>Ingresos!AO11</f>
        <v>0</v>
      </c>
      <c r="AP10" s="15">
        <f>Ingresos!AP11</f>
        <v>0</v>
      </c>
      <c r="AQ10" s="15">
        <f>Ingresos!AQ11</f>
        <v>0</v>
      </c>
      <c r="AR10" s="15">
        <f>Ingresos!AR11</f>
        <v>0</v>
      </c>
      <c r="AS10" s="15">
        <f>Ingresos!AS11</f>
        <v>0</v>
      </c>
    </row>
    <row r="11" spans="1:45" ht="18" customHeight="1">
      <c r="A11" s="16" t="s">
        <v>56</v>
      </c>
      <c r="B11" s="17">
        <f>B10+B8</f>
        <v>-1207584.0099999998</v>
      </c>
      <c r="C11" s="17">
        <f>C10+C8</f>
        <v>-241061.68999999994</v>
      </c>
      <c r="D11" s="17">
        <f>D10+D8</f>
        <v>-1187461.69</v>
      </c>
      <c r="E11" s="17">
        <f>E10+E8</f>
        <v>-1483870</v>
      </c>
      <c r="F11" s="17">
        <f>F10+F8</f>
        <v>-1780870</v>
      </c>
      <c r="G11" s="17">
        <f>G10+G8</f>
        <v>-2203070</v>
      </c>
      <c r="H11" s="17">
        <f>H10+H8</f>
        <v>-345077</v>
      </c>
      <c r="I11" s="17">
        <f>I10+I8</f>
        <v>-1467060</v>
      </c>
      <c r="J11" s="17">
        <f>J10+J8</f>
        <v>-2291160</v>
      </c>
      <c r="K11" s="17">
        <f>K10+K8</f>
        <v>-2549360</v>
      </c>
      <c r="L11" s="17">
        <f>L10+L8</f>
        <v>267000</v>
      </c>
      <c r="M11" s="18">
        <f>M10+M8</f>
        <v>1</v>
      </c>
      <c r="N11" s="18">
        <f>N10+N8</f>
        <v>1</v>
      </c>
      <c r="O11" s="17">
        <f>O10+O8</f>
        <v>27398.739999999991</v>
      </c>
      <c r="P11" s="17">
        <f>P10+P8</f>
        <v>-302601.26</v>
      </c>
      <c r="Q11" s="18">
        <f>Q10+Q8</f>
        <v>526518.74</v>
      </c>
      <c r="R11" s="18">
        <f>R10+R8</f>
        <v>1050818.7400000002</v>
      </c>
      <c r="S11" s="18">
        <f>S10+S8</f>
        <v>297339.74000000022</v>
      </c>
      <c r="T11" s="18">
        <f>T10+T8</f>
        <v>142056.74000000022</v>
      </c>
      <c r="U11" s="18">
        <f>U10+U8</f>
        <v>255056.74000000022</v>
      </c>
      <c r="V11" s="18">
        <f>V10+V8</f>
        <v>502056.74000000022</v>
      </c>
      <c r="W11" s="18">
        <f>W10+W8</f>
        <v>1616056.74</v>
      </c>
      <c r="X11" s="18">
        <f>X10+X8</f>
        <v>2689056.74</v>
      </c>
      <c r="Y11" s="17">
        <f>Y10+Y8</f>
        <v>1588056.74</v>
      </c>
      <c r="Z11" s="17">
        <f>Z10+Z8</f>
        <v>788056.74000000022</v>
      </c>
      <c r="AA11" s="17">
        <f>AA10+AA8</f>
        <v>1557056.74</v>
      </c>
      <c r="AB11" s="17">
        <f>AB10+AB8</f>
        <v>1557056.74</v>
      </c>
      <c r="AC11" s="17">
        <f>AC10+AC8</f>
        <v>1556056.74</v>
      </c>
      <c r="AD11" s="17">
        <f>AD10+AD8</f>
        <v>4237000</v>
      </c>
      <c r="AE11" s="17">
        <f>AE10+AE8</f>
        <v>2762000</v>
      </c>
      <c r="AF11" s="17">
        <f>AF10+AF8</f>
        <v>2762000</v>
      </c>
      <c r="AG11" s="17">
        <f>AG10+AG8</f>
        <v>2762000</v>
      </c>
      <c r="AH11" s="17">
        <f>AH10+AH8</f>
        <v>2762000</v>
      </c>
      <c r="AI11" s="17">
        <f>AI10+AI8</f>
        <v>2762000</v>
      </c>
      <c r="AJ11" s="18">
        <f>AJ10+AJ8</f>
        <v>0</v>
      </c>
      <c r="AK11" s="18">
        <f>AK10+AK8</f>
        <v>0</v>
      </c>
      <c r="AL11" s="18">
        <f>AL10+AL8</f>
        <v>0</v>
      </c>
      <c r="AM11" s="18">
        <f>AM10+AM8</f>
        <v>0</v>
      </c>
      <c r="AN11" s="18">
        <f>AN10+AN8</f>
        <v>0</v>
      </c>
      <c r="AO11" s="18">
        <f>AO10+AO8</f>
        <v>0</v>
      </c>
      <c r="AP11" s="18">
        <f>AP10+AP8</f>
        <v>0</v>
      </c>
      <c r="AQ11" s="18">
        <f>AQ10+AQ8</f>
        <v>0</v>
      </c>
      <c r="AR11" s="18">
        <f>AR10+AR8</f>
        <v>0</v>
      </c>
      <c r="AS11" s="18">
        <f>AS10+AS8</f>
        <v>0</v>
      </c>
    </row>
    <row r="12" spans="1:45" ht="18" customHeight="1"/>
    <row r="13" spans="1:45" ht="18" customHeight="1"/>
    <row r="14" spans="1:45" ht="18" customHeight="1"/>
    <row r="15" spans="1:45" ht="15" customHeight="1"/>
    <row r="16" spans="1:45" ht="21.75" customHeight="1"/>
  </sheetData>
  <mergeCells count="2">
    <mergeCell ref="A3:AS3"/>
    <mergeCell ref="A9:AS9"/>
  </mergeCells>
  <conditionalFormatting sqref="B1:AS2">
    <cfRule type="expression" dxfId="9" priority="2">
      <formula>B$2=CHOOSE(MONTH(TODAY()),"Enero","Febrero","Marzo","Abril","Mayo","Junio","Julio","Agosto","Septiembre","Octubre","Noviembre","Diciembre")&amp;" "&amp;YEAR(TODAY())</formula>
    </cfRule>
  </conditionalFormatting>
  <conditionalFormatting sqref="B8:AS8">
    <cfRule type="expression" dxfId="8" priority="3">
      <formula>LEN(TRIM(B8))&gt;0</formula>
    </cfRule>
  </conditionalFormatting>
  <conditionalFormatting sqref="B10:AS10">
    <cfRule type="expression" dxfId="7" priority="4">
      <formula>B10&gt;=1</formula>
    </cfRule>
  </conditionalFormatting>
  <conditionalFormatting sqref="B11:AS11">
    <cfRule type="expression" dxfId="6" priority="5">
      <formula>B11&gt;=1</formula>
    </cfRule>
    <cfRule type="expression" dxfId="5" priority="6">
      <formula>B11&lt;=0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"/>
  <sheetViews>
    <sheetView zoomScaleNormal="100" workbookViewId="0">
      <pane xSplit="2" ySplit="2" topLeftCell="R3" activePane="bottomRight" state="frozen"/>
      <selection pane="bottomRight" activeCell="X8" sqref="X8"/>
      <selection pane="bottomLeft" activeCell="A3" sqref="A3"/>
      <selection pane="topRight" activeCell="C1" sqref="C1"/>
    </sheetView>
  </sheetViews>
  <sheetFormatPr defaultColWidth="8.7109375" defaultRowHeight="15"/>
  <cols>
    <col min="1" max="1" width="28" style="1" customWidth="1"/>
    <col min="2" max="2" width="14" style="1" customWidth="1"/>
    <col min="3" max="45" width="14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61" t="s">
        <v>54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</row>
    <row r="4" spans="1:45" ht="18" customHeight="1">
      <c r="A4" s="19" t="s">
        <v>57</v>
      </c>
      <c r="B4" s="20">
        <v>1100000</v>
      </c>
      <c r="C4" s="20">
        <v>1100000</v>
      </c>
      <c r="D4" s="20">
        <v>1100000</v>
      </c>
      <c r="E4" s="20">
        <v>1200000</v>
      </c>
      <c r="F4" s="20">
        <v>1200000</v>
      </c>
      <c r="G4" s="20">
        <v>1200000</v>
      </c>
      <c r="H4" s="20">
        <v>1160000</v>
      </c>
      <c r="I4" s="20">
        <v>1170000</v>
      </c>
      <c r="J4" s="20">
        <v>1250000</v>
      </c>
      <c r="K4" s="20">
        <v>1200000</v>
      </c>
      <c r="L4" s="20">
        <v>1250000</v>
      </c>
      <c r="M4" s="20">
        <v>1432000</v>
      </c>
      <c r="N4" s="20">
        <v>1350000</v>
      </c>
      <c r="O4" s="20">
        <v>1450000</v>
      </c>
      <c r="P4" s="20">
        <v>1400000</v>
      </c>
      <c r="Q4" s="20">
        <v>1620000</v>
      </c>
      <c r="R4" s="20">
        <v>1542000</v>
      </c>
      <c r="S4" s="20">
        <v>1540000</v>
      </c>
      <c r="T4" s="20">
        <v>1810000</v>
      </c>
      <c r="U4" s="20">
        <v>1599000</v>
      </c>
      <c r="V4" s="20">
        <v>1655000</v>
      </c>
      <c r="W4" s="20">
        <v>1655000</v>
      </c>
      <c r="X4" s="20">
        <v>1655000</v>
      </c>
      <c r="Y4" s="20">
        <v>1655000</v>
      </c>
      <c r="Z4" s="20">
        <v>1655000</v>
      </c>
      <c r="AA4" s="20">
        <v>1655000</v>
      </c>
      <c r="AB4" s="20">
        <v>1655000</v>
      </c>
      <c r="AC4" s="20">
        <v>1655000</v>
      </c>
      <c r="AD4" s="20">
        <v>1655000</v>
      </c>
      <c r="AE4" s="20">
        <v>1655000</v>
      </c>
      <c r="AF4" s="20">
        <v>1655000</v>
      </c>
      <c r="AG4" s="20">
        <v>1655000</v>
      </c>
      <c r="AH4" s="20">
        <v>1655000</v>
      </c>
      <c r="AI4" s="20">
        <v>1655000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</row>
    <row r="5" spans="1:45" ht="18" customHeight="1">
      <c r="A5" s="19" t="s">
        <v>58</v>
      </c>
      <c r="B5" s="20">
        <v>0</v>
      </c>
      <c r="C5" s="20">
        <v>0</v>
      </c>
      <c r="D5" s="20">
        <v>0</v>
      </c>
      <c r="E5" s="20">
        <v>30000</v>
      </c>
      <c r="F5" s="20">
        <v>30000</v>
      </c>
      <c r="G5" s="20">
        <v>0</v>
      </c>
      <c r="H5" s="20">
        <v>50000</v>
      </c>
      <c r="I5" s="20">
        <v>100000</v>
      </c>
      <c r="J5" s="20">
        <v>0</v>
      </c>
      <c r="K5" s="20">
        <v>0</v>
      </c>
      <c r="L5" s="20">
        <v>320000</v>
      </c>
      <c r="M5" s="20">
        <v>960000</v>
      </c>
      <c r="N5" s="20">
        <v>1400000</v>
      </c>
      <c r="O5" s="20">
        <v>0</v>
      </c>
      <c r="P5" s="20">
        <v>0</v>
      </c>
      <c r="Q5" s="20">
        <v>900000</v>
      </c>
      <c r="R5" s="20">
        <v>900000</v>
      </c>
      <c r="S5" s="20">
        <v>950000</v>
      </c>
      <c r="T5" s="20">
        <v>950000</v>
      </c>
      <c r="U5" s="20">
        <v>900000</v>
      </c>
      <c r="V5" s="20">
        <v>1250000</v>
      </c>
      <c r="W5" s="20">
        <v>1250000</v>
      </c>
      <c r="X5" s="20">
        <v>1250000</v>
      </c>
      <c r="Y5" s="20">
        <v>1250000</v>
      </c>
      <c r="Z5" s="20">
        <v>1250000</v>
      </c>
      <c r="AA5" s="20">
        <v>1250000</v>
      </c>
      <c r="AB5" s="20">
        <v>1250000</v>
      </c>
      <c r="AC5" s="20">
        <v>1250000</v>
      </c>
      <c r="AD5" s="20">
        <v>1250000</v>
      </c>
      <c r="AE5" s="20">
        <v>1250000</v>
      </c>
      <c r="AF5" s="20">
        <v>1250000</v>
      </c>
      <c r="AG5" s="20">
        <v>1250000</v>
      </c>
      <c r="AH5" s="20">
        <v>1250000</v>
      </c>
      <c r="AI5" s="20">
        <v>1250000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</row>
    <row r="6" spans="1:45" ht="18" customHeight="1">
      <c r="A6" s="19" t="s">
        <v>59</v>
      </c>
      <c r="B6" s="20">
        <v>0</v>
      </c>
      <c r="C6" s="20">
        <v>0</v>
      </c>
      <c r="D6" s="20">
        <v>0</v>
      </c>
      <c r="E6" s="20">
        <v>0</v>
      </c>
      <c r="F6" s="20">
        <v>500000</v>
      </c>
      <c r="G6" s="20">
        <v>0</v>
      </c>
      <c r="H6" s="20">
        <v>0</v>
      </c>
      <c r="I6" s="20">
        <v>0</v>
      </c>
      <c r="J6" s="20">
        <v>0</v>
      </c>
      <c r="K6" s="20"/>
      <c r="L6" s="20">
        <v>665000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860000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850000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850000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</row>
    <row r="7" spans="1:45" ht="18" customHeight="1">
      <c r="A7" s="19" t="s">
        <v>60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145000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250000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625000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</row>
    <row r="8" spans="1:45" ht="18" customHeight="1">
      <c r="A8" s="19" t="s">
        <v>61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6000000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</row>
    <row r="9" spans="1:45" ht="18" customHeight="1">
      <c r="A9" s="19" t="s">
        <v>62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</row>
    <row r="10" spans="1:45" ht="15" customHeight="1">
      <c r="A10" s="19" t="s">
        <v>63</v>
      </c>
      <c r="B10" s="20">
        <v>0</v>
      </c>
      <c r="C10" s="20">
        <v>0</v>
      </c>
      <c r="D10" s="20">
        <v>0</v>
      </c>
      <c r="E10" s="20">
        <v>0</v>
      </c>
      <c r="F10" s="20">
        <v>30000</v>
      </c>
      <c r="G10" s="20">
        <v>15000</v>
      </c>
      <c r="H10" s="20">
        <v>15000</v>
      </c>
      <c r="I10" s="20">
        <v>15000</v>
      </c>
      <c r="J10" s="20">
        <v>15000</v>
      </c>
      <c r="K10" s="20">
        <v>15000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</row>
    <row r="11" spans="1:45" ht="15" customHeight="1">
      <c r="A11" s="21" t="s">
        <v>64</v>
      </c>
      <c r="B11" s="22">
        <f>SUM(B4:B10)</f>
        <v>1100000</v>
      </c>
      <c r="C11" s="22">
        <f>SUM(C4:C10)</f>
        <v>1100000</v>
      </c>
      <c r="D11" s="22">
        <f>SUM(D4:D10)</f>
        <v>1100000</v>
      </c>
      <c r="E11" s="22">
        <f>SUM(E4:E10)</f>
        <v>1230000</v>
      </c>
      <c r="F11" s="22">
        <f>SUM(F4:F10)</f>
        <v>1760000</v>
      </c>
      <c r="G11" s="22">
        <f>SUM(G4:G10)</f>
        <v>1215000</v>
      </c>
      <c r="H11" s="22">
        <f>SUM(H4:H10)</f>
        <v>7225000</v>
      </c>
      <c r="I11" s="22">
        <f>SUM(I4:I10)</f>
        <v>1285000</v>
      </c>
      <c r="J11" s="22">
        <f>SUM(J4:J10)</f>
        <v>1265000</v>
      </c>
      <c r="K11" s="22">
        <f>SUM(K4:K10)</f>
        <v>1215000</v>
      </c>
      <c r="L11" s="22">
        <f>SUM(L4:L10)</f>
        <v>2235000</v>
      </c>
      <c r="M11" s="22">
        <f>SUM(M4:M10)</f>
        <v>2392000</v>
      </c>
      <c r="N11" s="22">
        <f>SUM(N4:N10)</f>
        <v>2750000</v>
      </c>
      <c r="O11" s="22">
        <f>SUM(O4:O10)</f>
        <v>1450000</v>
      </c>
      <c r="P11" s="22">
        <f>SUM(P4:P10)</f>
        <v>1400000</v>
      </c>
      <c r="Q11" s="22">
        <f>SUM(Q4:Q10)</f>
        <v>2520000</v>
      </c>
      <c r="R11" s="22">
        <f>SUM(R4:R10)</f>
        <v>3447000</v>
      </c>
      <c r="S11" s="22">
        <f>SUM(S4:S10)</f>
        <v>2490000</v>
      </c>
      <c r="T11" s="22">
        <f>SUM(T4:T10)</f>
        <v>2760000</v>
      </c>
      <c r="U11" s="22">
        <f>SUM(U4:U10)</f>
        <v>2499000</v>
      </c>
      <c r="V11" s="22">
        <f>SUM(V4:V10)</f>
        <v>2905000</v>
      </c>
      <c r="W11" s="22">
        <f>SUM(W4:W10)</f>
        <v>2905000</v>
      </c>
      <c r="X11" s="22">
        <f>SUM(X4:X10)</f>
        <v>4005000</v>
      </c>
      <c r="Y11" s="22">
        <f>SUM(Y4:Y10)</f>
        <v>2905000</v>
      </c>
      <c r="Z11" s="22">
        <f>SUM(Z4:Z10)</f>
        <v>2905000</v>
      </c>
      <c r="AA11" s="22">
        <f>SUM(AA4:AA10)</f>
        <v>2905000</v>
      </c>
      <c r="AB11" s="22">
        <f>SUM(AB4:AB10)</f>
        <v>2905000</v>
      </c>
      <c r="AC11" s="22">
        <f>SUM(AC4:AC10)</f>
        <v>2905000</v>
      </c>
      <c r="AD11" s="22">
        <f>SUM(AD4:AD10)</f>
        <v>4380000</v>
      </c>
      <c r="AE11" s="22">
        <f>SUM(AE4:AE10)</f>
        <v>2905000</v>
      </c>
      <c r="AF11" s="22">
        <f>SUM(AF4:AF10)</f>
        <v>2905000</v>
      </c>
      <c r="AG11" s="22">
        <f>SUM(AG4:AG10)</f>
        <v>2905000</v>
      </c>
      <c r="AH11" s="22">
        <f>SUM(AH4:AH10)</f>
        <v>2905000</v>
      </c>
      <c r="AI11" s="22">
        <f>SUM(AI4:AI10)</f>
        <v>2905000</v>
      </c>
      <c r="AJ11" s="22">
        <f>SUM(AJ4:AJ10)</f>
        <v>0</v>
      </c>
      <c r="AK11" s="22">
        <f>SUM(AK4:AK10)</f>
        <v>0</v>
      </c>
      <c r="AL11" s="22">
        <f>SUM(AL4:AL10)</f>
        <v>0</v>
      </c>
      <c r="AM11" s="22">
        <f>SUM(AM4:AM10)</f>
        <v>0</v>
      </c>
      <c r="AN11" s="22">
        <f>SUM(AN4:AN10)</f>
        <v>0</v>
      </c>
      <c r="AO11" s="22">
        <f>SUM(AO4:AO10)</f>
        <v>0</v>
      </c>
      <c r="AP11" s="22">
        <f>SUM(AP4:AP10)</f>
        <v>0</v>
      </c>
      <c r="AQ11" s="22">
        <f>SUM(AQ4:AQ10)</f>
        <v>0</v>
      </c>
      <c r="AR11" s="22">
        <f>SUM(AR4:AR10)</f>
        <v>0</v>
      </c>
      <c r="AS11" s="22">
        <f>SUM(AS4:AS10)</f>
        <v>0</v>
      </c>
    </row>
  </sheetData>
  <mergeCells count="1">
    <mergeCell ref="A3:AS3"/>
  </mergeCells>
  <conditionalFormatting sqref="B1:AS2">
    <cfRule type="expression" dxfId="4" priority="2">
      <formula>B$2=CHOOSE(MONTH(TODAY()),"Enero","Febrero","Marzo","Abril","Mayo","Junio","Julio","Agosto","Septiembre","Octubre","Noviembre","Diciembre")&amp;" "&amp;YEAR(TODAY())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3"/>
  <sheetViews>
    <sheetView zoomScaleNormal="100" workbookViewId="0">
      <pane xSplit="1" ySplit="2" topLeftCell="P3" activePane="bottomRight" state="frozen"/>
      <selection pane="bottomRight" activeCell="W10" sqref="W10"/>
      <selection pane="bottomLeft" activeCell="A3" sqref="A3"/>
      <selection pane="topRight" activeCell="L1" sqref="L1"/>
    </sheetView>
  </sheetViews>
  <sheetFormatPr defaultColWidth="8.7109375" defaultRowHeight="15"/>
  <cols>
    <col min="1" max="1" width="28" style="1" customWidth="1"/>
    <col min="2" max="45" width="14" style="1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59" t="s">
        <v>65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</row>
    <row r="4" spans="1:45" ht="18" customHeight="1">
      <c r="A4" s="23" t="s">
        <v>66</v>
      </c>
      <c r="B4" s="5">
        <v>-1081714.01</v>
      </c>
      <c r="C4" s="5">
        <v>-751591.69</v>
      </c>
      <c r="D4" s="5">
        <v>-751591.69</v>
      </c>
      <c r="E4" s="5">
        <v>-1360000</v>
      </c>
      <c r="F4" s="5">
        <v>-1083000</v>
      </c>
      <c r="G4" s="5">
        <v>-1450000</v>
      </c>
      <c r="H4" s="5">
        <v>-1695000</v>
      </c>
      <c r="I4" s="5">
        <v>-1300000</v>
      </c>
      <c r="J4" s="5">
        <v>-1733000</v>
      </c>
      <c r="K4" s="5">
        <v>-1450000</v>
      </c>
      <c r="L4" s="5">
        <v>-400000</v>
      </c>
      <c r="M4" s="5">
        <v>-400000</v>
      </c>
      <c r="N4" s="5">
        <v>-400000</v>
      </c>
      <c r="O4" s="5">
        <v>-155000</v>
      </c>
      <c r="P4" s="5">
        <v>-370000</v>
      </c>
      <c r="Q4" s="5">
        <v>-528000</v>
      </c>
      <c r="R4" s="5">
        <v>-700000</v>
      </c>
      <c r="S4" s="5">
        <v>-650000</v>
      </c>
      <c r="T4" s="5">
        <v>-600000</v>
      </c>
      <c r="U4" s="5">
        <v>-700000</v>
      </c>
      <c r="V4" s="5">
        <v>-400000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</row>
    <row r="5" spans="1:45" ht="18" customHeight="1">
      <c r="A5" s="23" t="s">
        <v>67</v>
      </c>
      <c r="B5" s="5">
        <v>-149000</v>
      </c>
      <c r="C5" s="5">
        <v>-149000</v>
      </c>
      <c r="D5" s="5">
        <v>-149000</v>
      </c>
      <c r="E5" s="5">
        <v>-149000</v>
      </c>
      <c r="F5" s="5">
        <v>-128000</v>
      </c>
      <c r="G5" s="5">
        <v>-474000</v>
      </c>
      <c r="H5" s="5">
        <v>-502000</v>
      </c>
      <c r="I5" s="5">
        <v>0</v>
      </c>
      <c r="J5" s="5">
        <v>-161000</v>
      </c>
      <c r="K5" s="5">
        <v>-161000</v>
      </c>
      <c r="L5" s="5">
        <v>-161000</v>
      </c>
      <c r="M5" s="5">
        <v>-161000</v>
      </c>
      <c r="N5" s="5">
        <v>-161000</v>
      </c>
      <c r="O5" s="5">
        <v>-161000</v>
      </c>
      <c r="P5" s="5">
        <v>-161000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ht="18" customHeight="1">
      <c r="A6" s="23" t="s">
        <v>68</v>
      </c>
      <c r="B6" s="5">
        <v>-202870</v>
      </c>
      <c r="C6" s="5">
        <v>-202870</v>
      </c>
      <c r="D6" s="5">
        <v>-202870</v>
      </c>
      <c r="E6" s="5">
        <v>-202870</v>
      </c>
      <c r="F6" s="5">
        <v>-202870</v>
      </c>
      <c r="G6" s="5">
        <v>-202870</v>
      </c>
      <c r="H6" s="5">
        <v>-3862277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</row>
    <row r="7" spans="1:45" ht="18" customHeight="1">
      <c r="A7" s="23" t="s">
        <v>69</v>
      </c>
      <c r="B7" s="5">
        <v>0</v>
      </c>
      <c r="C7" s="5">
        <v>-83000</v>
      </c>
      <c r="D7" s="5">
        <v>-83000</v>
      </c>
      <c r="E7" s="5">
        <v>-83000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</row>
    <row r="8" spans="1:45" ht="18" customHeight="1">
      <c r="A8" s="23" t="s">
        <v>70</v>
      </c>
      <c r="B8" s="5">
        <v>-840000</v>
      </c>
      <c r="C8" s="5">
        <v>-120600</v>
      </c>
      <c r="D8" s="5">
        <v>-1067000</v>
      </c>
      <c r="E8" s="5">
        <v>-895000</v>
      </c>
      <c r="F8" s="5">
        <v>-740000</v>
      </c>
      <c r="G8" s="5">
        <v>-680000</v>
      </c>
      <c r="H8" s="5">
        <v>-700000</v>
      </c>
      <c r="I8" s="5">
        <v>-560000</v>
      </c>
      <c r="J8" s="5">
        <v>-850000</v>
      </c>
      <c r="K8" s="5">
        <v>-1000000</v>
      </c>
      <c r="L8" s="5">
        <v>-600000</v>
      </c>
      <c r="M8" s="5">
        <v>-127000</v>
      </c>
      <c r="N8" s="5">
        <v>-193000</v>
      </c>
      <c r="O8" s="5">
        <v>-139000</v>
      </c>
      <c r="P8" s="5">
        <v>-139000</v>
      </c>
      <c r="Q8" s="5">
        <v>-139000</v>
      </c>
      <c r="R8" s="5">
        <v>-139000</v>
      </c>
      <c r="S8" s="5">
        <v>-139000</v>
      </c>
      <c r="T8" s="5">
        <v>-143000</v>
      </c>
      <c r="U8" s="5">
        <v>-143000</v>
      </c>
      <c r="V8" s="5">
        <v>-143000</v>
      </c>
      <c r="W8" s="5">
        <v>-143000</v>
      </c>
      <c r="X8" s="5">
        <v>-143000</v>
      </c>
      <c r="Y8" s="5">
        <v>-143000</v>
      </c>
      <c r="Z8" s="5">
        <v>-143000</v>
      </c>
      <c r="AA8" s="5">
        <v>-143000</v>
      </c>
      <c r="AB8" s="5">
        <v>-143000</v>
      </c>
      <c r="AC8" s="5">
        <v>-143000</v>
      </c>
      <c r="AD8" s="5">
        <v>-143000</v>
      </c>
      <c r="AE8" s="5">
        <v>-143000</v>
      </c>
      <c r="AF8" s="5">
        <v>-143000</v>
      </c>
      <c r="AG8" s="5">
        <v>-143000</v>
      </c>
      <c r="AH8" s="5">
        <v>-143000</v>
      </c>
      <c r="AI8" s="5">
        <v>-143000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</row>
    <row r="9" spans="1:45" ht="18" customHeight="1">
      <c r="A9" s="23" t="s">
        <v>71</v>
      </c>
      <c r="B9" s="5">
        <v>-34000</v>
      </c>
      <c r="C9" s="5">
        <v>-34000</v>
      </c>
      <c r="D9" s="5">
        <v>-34000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</row>
    <row r="10" spans="1:45" ht="18" customHeight="1">
      <c r="A10" s="23" t="s">
        <v>72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-250000</v>
      </c>
      <c r="N10" s="5">
        <v>-170000</v>
      </c>
      <c r="O10" s="5">
        <v>-70000</v>
      </c>
      <c r="P10" s="5">
        <v>-137000</v>
      </c>
      <c r="Q10" s="5">
        <v>-160000</v>
      </c>
      <c r="R10" s="5">
        <v>-375000</v>
      </c>
      <c r="S10" s="5">
        <v>-50000</v>
      </c>
      <c r="T10" s="5">
        <v>-150000</v>
      </c>
      <c r="U10" s="5">
        <v>-16000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</row>
    <row r="11" spans="1:45" ht="18" customHeight="1">
      <c r="A11" s="23" t="s">
        <v>73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-200000</v>
      </c>
      <c r="O11" s="5">
        <v>-50000</v>
      </c>
      <c r="P11" s="5">
        <v>-37000</v>
      </c>
      <c r="Q11" s="5">
        <v>0</v>
      </c>
      <c r="R11" s="5" t="s">
        <v>74</v>
      </c>
      <c r="S11" s="5" t="s">
        <v>74</v>
      </c>
      <c r="T11" s="5">
        <v>-140000</v>
      </c>
      <c r="U11" s="5">
        <v>-160000</v>
      </c>
      <c r="V11" s="5"/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</row>
    <row r="12" spans="1:45" ht="18" customHeight="1">
      <c r="A12" s="23" t="s">
        <v>75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-70000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</row>
    <row r="13" spans="1:45" ht="15" customHeight="1">
      <c r="A13" s="24" t="s">
        <v>64</v>
      </c>
      <c r="B13" s="25">
        <f>SUM(B4:B12)</f>
        <v>-2307584.0099999998</v>
      </c>
      <c r="C13" s="25">
        <f>SUM(C4:C12)</f>
        <v>-1341061.69</v>
      </c>
      <c r="D13" s="25">
        <f>SUM(D4:D12)</f>
        <v>-2287461.69</v>
      </c>
      <c r="E13" s="25">
        <f>SUM(E4:E12)</f>
        <v>-2689870</v>
      </c>
      <c r="F13" s="25">
        <f>SUM(F4:F12)</f>
        <v>-2153870</v>
      </c>
      <c r="G13" s="25">
        <f>SUM(G4:G12)</f>
        <v>-2806870</v>
      </c>
      <c r="H13" s="25">
        <f>SUM(H4:H12)</f>
        <v>-6759277</v>
      </c>
      <c r="I13" s="25">
        <f>SUM(I4:I12)</f>
        <v>-1860000</v>
      </c>
      <c r="J13" s="25">
        <f>SUM(J4:J12)</f>
        <v>-2744000</v>
      </c>
      <c r="K13" s="25">
        <f>SUM(K4:K12)</f>
        <v>-2611000</v>
      </c>
      <c r="L13" s="25">
        <f>SUM(L4:L12)</f>
        <v>-1161000</v>
      </c>
      <c r="M13" s="25">
        <f>SUM(M4:M12)</f>
        <v>-938000</v>
      </c>
      <c r="N13" s="25">
        <f>SUM(N4:N12)</f>
        <v>-1124000</v>
      </c>
      <c r="O13" s="25">
        <f>SUM(O4:O12)</f>
        <v>-575000</v>
      </c>
      <c r="P13" s="25">
        <f>SUM(P4:P12)</f>
        <v>-844000</v>
      </c>
      <c r="Q13" s="25">
        <f>SUM(Q4:Q12)</f>
        <v>-897000</v>
      </c>
      <c r="R13" s="25">
        <f>SUM(R4:R12)</f>
        <v>-1214000</v>
      </c>
      <c r="S13" s="25">
        <f>SUM(S4:S12)</f>
        <v>-839000</v>
      </c>
      <c r="T13" s="25">
        <f>SUM(T4:T12)</f>
        <v>-1033000</v>
      </c>
      <c r="U13" s="25">
        <f>SUM(U4:U12)</f>
        <v>-1019000</v>
      </c>
      <c r="V13" s="25">
        <f>SUM(V4:V12)</f>
        <v>-543000</v>
      </c>
      <c r="W13" s="25">
        <f>SUM(W4:W12)</f>
        <v>-143000</v>
      </c>
      <c r="X13" s="25">
        <f>SUM(X4:X12)</f>
        <v>-143000</v>
      </c>
      <c r="Y13" s="25">
        <f>SUM(Y4:Y12)</f>
        <v>-143000</v>
      </c>
      <c r="Z13" s="25">
        <f>SUM(Z4:Z12)</f>
        <v>-143000</v>
      </c>
      <c r="AA13" s="25">
        <f>SUM(AA4:AA12)</f>
        <v>-143000</v>
      </c>
      <c r="AB13" s="25">
        <f>SUM(AB4:AB12)</f>
        <v>-143000</v>
      </c>
      <c r="AC13" s="25">
        <f>SUM(AC4:AC12)</f>
        <v>-143000</v>
      </c>
      <c r="AD13" s="25">
        <f>SUM(AD4:AD12)</f>
        <v>-143000</v>
      </c>
      <c r="AE13" s="25">
        <f>SUM(AE4:AE12)</f>
        <v>-143000</v>
      </c>
      <c r="AF13" s="25">
        <f>SUM(AF4:AF12)</f>
        <v>-143000</v>
      </c>
      <c r="AG13" s="25">
        <f>SUM(AG4:AG12)</f>
        <v>-143000</v>
      </c>
      <c r="AH13" s="25">
        <f>SUM(AH4:AH12)</f>
        <v>-143000</v>
      </c>
      <c r="AI13" s="25">
        <f>SUM(AI4:AI12)</f>
        <v>-143000</v>
      </c>
      <c r="AJ13" s="25">
        <f>SUM(AJ4:AJ12)</f>
        <v>0</v>
      </c>
      <c r="AK13" s="25">
        <f>SUM(AK4:AK12)</f>
        <v>0</v>
      </c>
      <c r="AL13" s="25">
        <f>SUM(AL4:AL12)</f>
        <v>0</v>
      </c>
      <c r="AM13" s="25">
        <f>SUM(AM4:AM12)</f>
        <v>0</v>
      </c>
      <c r="AN13" s="25">
        <f>SUM(AN4:AN12)</f>
        <v>0</v>
      </c>
      <c r="AO13" s="25">
        <f>SUM(AO4:AO12)</f>
        <v>0</v>
      </c>
      <c r="AP13" s="25">
        <f>SUM(AP4:AP12)</f>
        <v>0</v>
      </c>
      <c r="AQ13" s="25">
        <f>SUM(AQ4:AQ12)</f>
        <v>0</v>
      </c>
      <c r="AR13" s="25">
        <f>SUM(AR4:AR12)</f>
        <v>0</v>
      </c>
      <c r="AS13" s="25">
        <f>SUM(AS4:AS12)</f>
        <v>0</v>
      </c>
    </row>
  </sheetData>
  <mergeCells count="1">
    <mergeCell ref="A3:AS3"/>
  </mergeCells>
  <conditionalFormatting sqref="B1:AS2">
    <cfRule type="expression" dxfId="3" priority="2">
      <formula>B$2=CHOOSE(MONTH(TODAY()),"Enero","Febrero","Marzo","Abril","Mayo","Junio","Julio","Agosto","Septiembre","Octubre","Noviembre","Diciembre")&amp;" "&amp;YEAR(TODAY())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1"/>
  <sheetViews>
    <sheetView zoomScaleNormal="100" workbookViewId="0">
      <pane xSplit="1" ySplit="2" topLeftCell="N3" activePane="bottomRight" state="frozen"/>
      <selection pane="bottomRight" activeCell="Z11" sqref="Z11"/>
      <selection pane="bottomLeft" activeCell="A3" sqref="A3"/>
      <selection pane="topRight" activeCell="M1" sqref="M1"/>
    </sheetView>
  </sheetViews>
  <sheetFormatPr defaultColWidth="8.7109375" defaultRowHeight="15"/>
  <cols>
    <col min="1" max="1" width="28" style="1" customWidth="1"/>
    <col min="2" max="45" width="14" style="1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60" t="s">
        <v>76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</row>
    <row r="4" spans="1:45" ht="18" customHeight="1">
      <c r="A4" s="26" t="s">
        <v>77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</row>
    <row r="5" spans="1:45" ht="18" customHeight="1">
      <c r="A5" s="26" t="s">
        <v>78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-30000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ht="18" customHeight="1">
      <c r="A6" s="26" t="s">
        <v>79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-35000</v>
      </c>
      <c r="J6" s="7">
        <v>0</v>
      </c>
      <c r="K6" s="7">
        <v>0</v>
      </c>
      <c r="L6" s="7">
        <v>0</v>
      </c>
      <c r="M6" s="7">
        <v>-39000</v>
      </c>
      <c r="N6" s="7">
        <v>-39000</v>
      </c>
      <c r="O6" s="7">
        <v>0</v>
      </c>
      <c r="P6" s="7">
        <v>0</v>
      </c>
      <c r="Q6" s="7">
        <v>0</v>
      </c>
      <c r="R6" s="7">
        <v>0</v>
      </c>
      <c r="S6" s="7"/>
      <c r="T6" s="7"/>
      <c r="U6" s="7"/>
      <c r="V6" s="7"/>
      <c r="W6" s="7"/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</row>
    <row r="7" spans="1:45" ht="18" customHeight="1">
      <c r="A7" s="26" t="s">
        <v>80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-35000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</row>
    <row r="8" spans="1:45" ht="18" customHeight="1">
      <c r="A8" s="26" t="s">
        <v>81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</row>
    <row r="9" spans="1:45" ht="18" customHeight="1">
      <c r="A9" s="26" t="s">
        <v>82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-180000</v>
      </c>
      <c r="R9" s="7">
        <v>-180000</v>
      </c>
      <c r="S9" s="7">
        <v>-360000</v>
      </c>
      <c r="T9" s="7">
        <v>-390000</v>
      </c>
      <c r="U9" s="7">
        <v>-195000</v>
      </c>
      <c r="V9" s="7">
        <v>-195000</v>
      </c>
      <c r="W9" s="7">
        <v>-200000</v>
      </c>
      <c r="X9" s="7">
        <v>-200000</v>
      </c>
      <c r="Y9" s="7">
        <v>-200000</v>
      </c>
      <c r="Z9" s="7">
        <v>-200000</v>
      </c>
      <c r="AA9" s="7">
        <v>-200000</v>
      </c>
      <c r="AB9" s="7">
        <v>-200000</v>
      </c>
      <c r="AC9" s="7">
        <v>-200000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</row>
    <row r="10" spans="1:45" ht="18" customHeight="1">
      <c r="A10" s="26" t="s">
        <v>83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-650000</v>
      </c>
      <c r="W10" s="7"/>
      <c r="X10" s="7"/>
      <c r="Y10" s="7"/>
      <c r="Z10" s="7">
        <v>-400000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1:45" ht="15" customHeight="1">
      <c r="A11" s="27" t="s">
        <v>64</v>
      </c>
      <c r="B11" s="28">
        <f>SUM(B4:B10)</f>
        <v>0</v>
      </c>
      <c r="C11" s="28">
        <f t="shared" ref="C11:AS11" si="0">SUM(C4:C10)</f>
        <v>0</v>
      </c>
      <c r="D11" s="28">
        <f t="shared" si="0"/>
        <v>0</v>
      </c>
      <c r="E11" s="28">
        <f t="shared" si="0"/>
        <v>0</v>
      </c>
      <c r="F11" s="28">
        <f t="shared" si="0"/>
        <v>0</v>
      </c>
      <c r="G11" s="28">
        <f t="shared" si="0"/>
        <v>0</v>
      </c>
      <c r="H11" s="28">
        <f t="shared" si="0"/>
        <v>0</v>
      </c>
      <c r="I11" s="28">
        <f t="shared" si="0"/>
        <v>-70000</v>
      </c>
      <c r="J11" s="28">
        <f t="shared" si="0"/>
        <v>0</v>
      </c>
      <c r="K11" s="28">
        <f t="shared" si="0"/>
        <v>0</v>
      </c>
      <c r="L11" s="28">
        <f t="shared" si="0"/>
        <v>0</v>
      </c>
      <c r="M11" s="28">
        <f t="shared" si="0"/>
        <v>-39000</v>
      </c>
      <c r="N11" s="28">
        <f t="shared" si="0"/>
        <v>-39000</v>
      </c>
      <c r="O11" s="28">
        <f t="shared" si="0"/>
        <v>0</v>
      </c>
      <c r="P11" s="28">
        <f t="shared" si="0"/>
        <v>0</v>
      </c>
      <c r="Q11" s="28">
        <f t="shared" si="0"/>
        <v>-180000</v>
      </c>
      <c r="R11" s="28">
        <f t="shared" si="0"/>
        <v>-180000</v>
      </c>
      <c r="S11" s="28">
        <f t="shared" si="0"/>
        <v>-390000</v>
      </c>
      <c r="T11" s="28">
        <f t="shared" si="0"/>
        <v>-390000</v>
      </c>
      <c r="U11" s="28">
        <f t="shared" si="0"/>
        <v>-195000</v>
      </c>
      <c r="V11" s="28">
        <f t="shared" si="0"/>
        <v>-845000</v>
      </c>
      <c r="W11" s="28">
        <f t="shared" si="0"/>
        <v>-200000</v>
      </c>
      <c r="X11" s="28">
        <f t="shared" si="0"/>
        <v>-200000</v>
      </c>
      <c r="Y11" s="28">
        <f t="shared" si="0"/>
        <v>-200000</v>
      </c>
      <c r="Z11" s="28">
        <f t="shared" si="0"/>
        <v>-600000</v>
      </c>
      <c r="AA11" s="28">
        <f t="shared" si="0"/>
        <v>-200000</v>
      </c>
      <c r="AB11" s="28">
        <f t="shared" si="0"/>
        <v>-200000</v>
      </c>
      <c r="AC11" s="28">
        <f t="shared" si="0"/>
        <v>-200000</v>
      </c>
      <c r="AD11" s="28">
        <f t="shared" si="0"/>
        <v>0</v>
      </c>
      <c r="AE11" s="28">
        <f t="shared" si="0"/>
        <v>0</v>
      </c>
      <c r="AF11" s="28">
        <f t="shared" si="0"/>
        <v>0</v>
      </c>
      <c r="AG11" s="28">
        <f t="shared" si="0"/>
        <v>0</v>
      </c>
      <c r="AH11" s="28">
        <f t="shared" si="0"/>
        <v>0</v>
      </c>
      <c r="AI11" s="28">
        <f t="shared" si="0"/>
        <v>0</v>
      </c>
      <c r="AJ11" s="28">
        <f t="shared" si="0"/>
        <v>0</v>
      </c>
      <c r="AK11" s="28">
        <f t="shared" si="0"/>
        <v>0</v>
      </c>
      <c r="AL11" s="28">
        <f t="shared" si="0"/>
        <v>0</v>
      </c>
      <c r="AM11" s="28">
        <f t="shared" si="0"/>
        <v>0</v>
      </c>
      <c r="AN11" s="28">
        <f t="shared" si="0"/>
        <v>0</v>
      </c>
      <c r="AO11" s="28">
        <f t="shared" si="0"/>
        <v>0</v>
      </c>
      <c r="AP11" s="28">
        <f t="shared" si="0"/>
        <v>0</v>
      </c>
      <c r="AQ11" s="28">
        <f t="shared" si="0"/>
        <v>0</v>
      </c>
      <c r="AR11" s="28">
        <f t="shared" si="0"/>
        <v>0</v>
      </c>
      <c r="AS11" s="28">
        <f t="shared" si="0"/>
        <v>0</v>
      </c>
    </row>
  </sheetData>
  <mergeCells count="1">
    <mergeCell ref="A3:AS3"/>
  </mergeCells>
  <conditionalFormatting sqref="B1:AS2">
    <cfRule type="expression" dxfId="2" priority="2">
      <formula>B$2=CHOOSE(MONTH(TODAY()),"Enero","Febrero","Marzo","Abril","Mayo","Junio","Julio","Agosto","Septiembre","Octubre","Noviembre","Diciembre")&amp;" "&amp;YEAR(TODAY())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6"/>
  <sheetViews>
    <sheetView tabSelected="1" zoomScaleNormal="100" workbookViewId="0">
      <pane xSplit="1" ySplit="2" topLeftCell="P3" activePane="bottomRight" state="frozen"/>
      <selection pane="bottomRight" activeCell="AC26" sqref="AC26"/>
      <selection pane="bottomLeft" activeCell="A3" sqref="A3"/>
      <selection pane="topRight" activeCell="P1" sqref="P1"/>
    </sheetView>
  </sheetViews>
  <sheetFormatPr defaultColWidth="8.7109375" defaultRowHeight="15"/>
  <cols>
    <col min="1" max="1" width="28" style="1" customWidth="1"/>
    <col min="2" max="45" width="14" style="1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58" t="s">
        <v>84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</row>
    <row r="4" spans="1:45" ht="18" customHeight="1">
      <c r="A4" s="29" t="s">
        <v>85</v>
      </c>
      <c r="B4" s="9">
        <v>0</v>
      </c>
      <c r="C4" s="9">
        <v>0</v>
      </c>
      <c r="D4" s="9">
        <v>0</v>
      </c>
      <c r="E4" s="9">
        <v>-24000</v>
      </c>
      <c r="F4" s="9">
        <v>-24000</v>
      </c>
      <c r="G4" s="9">
        <v>-31200</v>
      </c>
      <c r="H4" s="9">
        <v>-58500</v>
      </c>
      <c r="I4" s="9">
        <v>-31200</v>
      </c>
      <c r="J4" s="9">
        <v>-31200</v>
      </c>
      <c r="K4" s="9">
        <v>-32500</v>
      </c>
      <c r="L4" s="9">
        <v>-35000</v>
      </c>
      <c r="M4" s="9">
        <v>-35000</v>
      </c>
      <c r="N4" s="9">
        <v>-35000</v>
      </c>
      <c r="O4" s="9">
        <v>-35000</v>
      </c>
      <c r="P4" s="9">
        <v>-35000</v>
      </c>
      <c r="Q4" s="9"/>
      <c r="R4" s="9">
        <v>-36700</v>
      </c>
      <c r="S4" s="9">
        <v>-37109</v>
      </c>
      <c r="T4" s="9">
        <v>-37676</v>
      </c>
      <c r="U4" s="9">
        <v>-37676</v>
      </c>
      <c r="V4" s="9">
        <v>-37676</v>
      </c>
      <c r="W4" s="9">
        <v>-37676</v>
      </c>
      <c r="X4" s="9">
        <v>-37676</v>
      </c>
      <c r="Y4" s="9">
        <v>-37676</v>
      </c>
      <c r="Z4" s="9">
        <v>-37676</v>
      </c>
      <c r="AA4" s="9">
        <v>-37676</v>
      </c>
      <c r="AB4" s="9">
        <v>-37676</v>
      </c>
      <c r="AC4" s="9">
        <v>-37676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</row>
    <row r="5" spans="1:45" ht="18" customHeight="1">
      <c r="A5" s="29" t="s">
        <v>86</v>
      </c>
      <c r="B5" s="9">
        <v>0</v>
      </c>
      <c r="C5" s="9">
        <v>0</v>
      </c>
      <c r="D5" s="9">
        <v>0</v>
      </c>
      <c r="E5" s="9">
        <v>0</v>
      </c>
      <c r="F5" s="9">
        <v>-223000</v>
      </c>
      <c r="G5" s="9">
        <v>-200000</v>
      </c>
      <c r="H5" s="9">
        <v>-161000</v>
      </c>
      <c r="I5" s="9">
        <v>-200000</v>
      </c>
      <c r="J5" s="9">
        <v>-206100</v>
      </c>
      <c r="K5" s="9">
        <v>-200000</v>
      </c>
      <c r="L5" s="9">
        <v>-200000</v>
      </c>
      <c r="M5" s="9">
        <v>-220000</v>
      </c>
      <c r="N5" s="9">
        <v>-220000</v>
      </c>
      <c r="O5" s="9">
        <v>-170000</v>
      </c>
      <c r="P5" s="9">
        <v>-170000</v>
      </c>
      <c r="Q5" s="9">
        <v>-170000</v>
      </c>
      <c r="R5" s="9">
        <v>-167000</v>
      </c>
      <c r="S5" s="9">
        <v>-168000</v>
      </c>
      <c r="T5" s="9">
        <v>-174000</v>
      </c>
      <c r="U5" s="9">
        <v>-174000</v>
      </c>
      <c r="V5" s="9">
        <v>-175000</v>
      </c>
      <c r="W5" s="9">
        <v>-175000</v>
      </c>
      <c r="X5" s="9">
        <v>-175000</v>
      </c>
      <c r="Y5" s="9">
        <v>-175000</v>
      </c>
      <c r="Z5" s="9">
        <v>-175000</v>
      </c>
      <c r="AA5" s="9">
        <v>-175000</v>
      </c>
      <c r="AB5" s="9">
        <v>-175000</v>
      </c>
      <c r="AC5" s="9">
        <v>-175000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</row>
    <row r="6" spans="1:45" ht="18" customHeight="1">
      <c r="A6" s="29" t="s">
        <v>87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-136300</v>
      </c>
      <c r="I6" s="9">
        <v>-97000</v>
      </c>
      <c r="J6" s="9">
        <v>-79000</v>
      </c>
      <c r="K6" s="9">
        <v>-100000</v>
      </c>
      <c r="L6" s="9">
        <v>-87000</v>
      </c>
      <c r="M6" s="9">
        <v>-89000</v>
      </c>
      <c r="N6" s="9">
        <v>-100000</v>
      </c>
      <c r="O6" s="9">
        <v>-98000</v>
      </c>
      <c r="P6" s="9">
        <v>-109000</v>
      </c>
      <c r="Q6" s="9">
        <v>-110000</v>
      </c>
      <c r="R6" s="9">
        <v>-140000</v>
      </c>
      <c r="S6" s="9">
        <v>-98000</v>
      </c>
      <c r="T6" s="9">
        <v>-122000</v>
      </c>
      <c r="U6" s="9">
        <v>-126000</v>
      </c>
      <c r="V6" s="9">
        <v>-110000</v>
      </c>
      <c r="W6" s="9">
        <v>-110000</v>
      </c>
      <c r="X6" s="9">
        <v>-110000</v>
      </c>
      <c r="Y6" s="9">
        <v>-110000</v>
      </c>
      <c r="Z6" s="9">
        <v>-110000</v>
      </c>
      <c r="AA6" s="9">
        <v>-110000</v>
      </c>
      <c r="AB6" s="9">
        <v>-110000</v>
      </c>
      <c r="AC6" s="9">
        <v>-110000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</row>
    <row r="7" spans="1:45" ht="18" customHeight="1">
      <c r="A7" s="29" t="s">
        <v>88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-75000</v>
      </c>
      <c r="I7" s="9">
        <v>-70000</v>
      </c>
      <c r="J7" s="9">
        <v>-75000</v>
      </c>
      <c r="K7" s="9">
        <v>-100000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</row>
    <row r="8" spans="1:45" ht="18" customHeight="1">
      <c r="A8" s="29" t="s">
        <v>89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-21000</v>
      </c>
      <c r="J8" s="9">
        <v>-18000</v>
      </c>
      <c r="K8" s="9">
        <v>-18000</v>
      </c>
      <c r="L8" s="9">
        <v>-18000</v>
      </c>
      <c r="M8" s="9">
        <v>-20000</v>
      </c>
      <c r="N8" s="9">
        <v>-22000</v>
      </c>
      <c r="O8" s="9">
        <v>-21000</v>
      </c>
      <c r="P8" s="9">
        <v>-21000</v>
      </c>
      <c r="Q8" s="9">
        <v>-27880</v>
      </c>
      <c r="R8" s="9">
        <v>-27880</v>
      </c>
      <c r="S8" s="9">
        <v>-29950</v>
      </c>
      <c r="T8" s="9">
        <v>-30666</v>
      </c>
      <c r="U8" s="9">
        <v>-30666</v>
      </c>
      <c r="V8" s="9">
        <v>-30666</v>
      </c>
      <c r="W8" s="9">
        <v>-30666</v>
      </c>
      <c r="X8" s="9">
        <v>-30666</v>
      </c>
      <c r="Y8" s="9">
        <v>-30666</v>
      </c>
      <c r="Z8" s="9">
        <v>-30666</v>
      </c>
      <c r="AA8" s="9">
        <v>-30666</v>
      </c>
      <c r="AB8" s="9">
        <v>-30666</v>
      </c>
      <c r="AC8" s="9">
        <v>-30666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</row>
    <row r="9" spans="1:45" ht="18" customHeight="1">
      <c r="A9" s="29" t="s">
        <v>90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-89600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 t="s">
        <v>74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</row>
    <row r="10" spans="1:45" ht="18" customHeight="1">
      <c r="A10" s="30" t="s">
        <v>91</v>
      </c>
      <c r="B10" s="31">
        <v>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-55804</v>
      </c>
      <c r="O10" s="31">
        <v>-18601.259999999998</v>
      </c>
      <c r="P10" s="31">
        <v>-18601.259999999998</v>
      </c>
      <c r="Q10" s="31">
        <v>-18601.259999999998</v>
      </c>
      <c r="R10" s="31">
        <v>-18601.259999999998</v>
      </c>
      <c r="S10" s="31">
        <v>-18601.259999999998</v>
      </c>
      <c r="T10" s="31">
        <v>-18601.259999999998</v>
      </c>
      <c r="U10" s="31">
        <v>-18601.259999999998</v>
      </c>
      <c r="V10" s="31">
        <v>-18601.259999999998</v>
      </c>
      <c r="W10" s="31">
        <v>-18601.259999999998</v>
      </c>
      <c r="X10" s="31">
        <v>-18601.259999999998</v>
      </c>
      <c r="Y10" s="31">
        <v>-18601.259999999998</v>
      </c>
      <c r="Z10" s="31">
        <v>-18601.259999999998</v>
      </c>
      <c r="AA10" s="31">
        <v>-18601.259999999998</v>
      </c>
      <c r="AB10" s="31">
        <v>-18601.259999999998</v>
      </c>
      <c r="AC10" s="31">
        <v>-18601.259999999998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</row>
    <row r="11" spans="1:45" ht="18" customHeight="1">
      <c r="A11" s="30" t="s">
        <v>92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-32000</v>
      </c>
      <c r="M11" s="31">
        <v>-34000</v>
      </c>
      <c r="N11" s="31">
        <v>-35000</v>
      </c>
      <c r="O11" s="31">
        <v>-35000</v>
      </c>
      <c r="P11" s="31">
        <v>-35000</v>
      </c>
      <c r="Q11" s="31">
        <v>-35000</v>
      </c>
      <c r="R11" s="31">
        <v>-37000</v>
      </c>
      <c r="S11" s="31">
        <v>-37000</v>
      </c>
      <c r="T11" s="31">
        <v>-37000</v>
      </c>
      <c r="U11" s="31">
        <v>-38000</v>
      </c>
      <c r="V11" s="31">
        <v>-38000</v>
      </c>
      <c r="W11" s="31">
        <v>-39000</v>
      </c>
      <c r="X11" s="31">
        <v>-39000</v>
      </c>
      <c r="Y11" s="31">
        <v>-40000</v>
      </c>
      <c r="Z11" s="31">
        <v>-40000</v>
      </c>
      <c r="AA11" s="31">
        <v>-41000</v>
      </c>
      <c r="AB11" s="31">
        <v>-41000</v>
      </c>
      <c r="AC11" s="31">
        <v>-42000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</row>
    <row r="12" spans="1:45" ht="18" customHeight="1">
      <c r="A12" s="30" t="s">
        <v>93</v>
      </c>
      <c r="B12" s="31">
        <v>0</v>
      </c>
      <c r="C12" s="31">
        <v>0</v>
      </c>
      <c r="D12" s="31">
        <v>0</v>
      </c>
      <c r="E12" s="31">
        <v>0</v>
      </c>
      <c r="F12" s="31">
        <v>-380000</v>
      </c>
      <c r="G12" s="31">
        <v>-380000</v>
      </c>
      <c r="H12" s="31">
        <v>-380000</v>
      </c>
      <c r="I12" s="31">
        <v>-402860</v>
      </c>
      <c r="J12" s="31">
        <v>-402860</v>
      </c>
      <c r="K12" s="31">
        <v>-402860</v>
      </c>
      <c r="L12" s="31">
        <v>-435000</v>
      </c>
      <c r="M12" s="31">
        <v>-435000</v>
      </c>
      <c r="N12" s="31">
        <v>-435000</v>
      </c>
      <c r="O12" s="31">
        <v>-470000</v>
      </c>
      <c r="P12" s="31">
        <v>-470000</v>
      </c>
      <c r="Q12" s="31">
        <v>-470000</v>
      </c>
      <c r="R12" s="31">
        <v>-505000</v>
      </c>
      <c r="S12" s="31">
        <v>-505000</v>
      </c>
      <c r="T12" s="31">
        <v>-505000</v>
      </c>
      <c r="U12" s="31">
        <v>-535000</v>
      </c>
      <c r="V12" s="31">
        <v>-535000</v>
      </c>
      <c r="W12" s="31">
        <v>-535000</v>
      </c>
      <c r="X12" s="31">
        <v>-562000</v>
      </c>
      <c r="Y12" s="31">
        <v>-562000</v>
      </c>
      <c r="Z12" s="31">
        <v>-562000</v>
      </c>
      <c r="AA12" s="31">
        <v>-592000</v>
      </c>
      <c r="AB12" s="31">
        <v>-592000</v>
      </c>
      <c r="AC12" s="31">
        <v>-592000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</row>
    <row r="13" spans="1:45" ht="18" customHeight="1">
      <c r="A13" s="55" t="s">
        <v>94</v>
      </c>
      <c r="B13" s="56">
        <v>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0</v>
      </c>
      <c r="AM13" s="56">
        <v>0</v>
      </c>
      <c r="AN13" s="56">
        <v>0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</row>
    <row r="14" spans="1:45" ht="18" customHeight="1">
      <c r="A14" s="55" t="s">
        <v>95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6">
        <v>0</v>
      </c>
      <c r="AK14" s="56">
        <v>0</v>
      </c>
      <c r="AL14" s="56">
        <v>0</v>
      </c>
      <c r="AM14" s="56">
        <v>0</v>
      </c>
      <c r="AN14" s="56">
        <v>0</v>
      </c>
      <c r="AO14" s="56">
        <v>0</v>
      </c>
      <c r="AP14" s="56">
        <v>0</v>
      </c>
      <c r="AQ14" s="56">
        <v>0</v>
      </c>
      <c r="AR14" s="56">
        <v>0</v>
      </c>
      <c r="AS14" s="56">
        <v>0</v>
      </c>
    </row>
    <row r="15" spans="1:45" ht="18" customHeight="1">
      <c r="A15" s="55" t="s">
        <v>96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6">
        <v>0</v>
      </c>
      <c r="AH15" s="56">
        <v>0</v>
      </c>
      <c r="AI15" s="56">
        <v>0</v>
      </c>
      <c r="AJ15" s="56">
        <v>0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</row>
    <row r="16" spans="1:45" ht="15" customHeight="1">
      <c r="A16" s="32" t="s">
        <v>64</v>
      </c>
      <c r="B16" s="33">
        <f>SUM(B4:B12)</f>
        <v>0</v>
      </c>
      <c r="C16" s="33">
        <f t="shared" ref="C16:AS16" si="0">SUM(C4:C12)</f>
        <v>0</v>
      </c>
      <c r="D16" s="33">
        <f t="shared" si="0"/>
        <v>0</v>
      </c>
      <c r="E16" s="33">
        <f t="shared" si="0"/>
        <v>-24000</v>
      </c>
      <c r="F16" s="33">
        <f t="shared" si="0"/>
        <v>-627000</v>
      </c>
      <c r="G16" s="33">
        <f t="shared" si="0"/>
        <v>-611200</v>
      </c>
      <c r="H16" s="33">
        <f t="shared" si="0"/>
        <v>-810800</v>
      </c>
      <c r="I16" s="33">
        <f t="shared" si="0"/>
        <v>-822060</v>
      </c>
      <c r="J16" s="33">
        <f t="shared" si="0"/>
        <v>-812160</v>
      </c>
      <c r="K16" s="33">
        <f t="shared" si="0"/>
        <v>-853360</v>
      </c>
      <c r="L16" s="33">
        <f t="shared" si="0"/>
        <v>-807000</v>
      </c>
      <c r="M16" s="33">
        <f t="shared" si="0"/>
        <v>-922600</v>
      </c>
      <c r="N16" s="33">
        <f t="shared" si="0"/>
        <v>-902804</v>
      </c>
      <c r="O16" s="33">
        <f t="shared" si="0"/>
        <v>-847601.26</v>
      </c>
      <c r="P16" s="33">
        <f t="shared" si="0"/>
        <v>-858601.26</v>
      </c>
      <c r="Q16" s="33">
        <f t="shared" si="0"/>
        <v>-831481.26</v>
      </c>
      <c r="R16" s="33">
        <f t="shared" si="0"/>
        <v>-932181.26</v>
      </c>
      <c r="S16" s="33">
        <f t="shared" si="0"/>
        <v>-893660.26</v>
      </c>
      <c r="T16" s="33">
        <f>SUM(T4:T15)</f>
        <v>-924943.26</v>
      </c>
      <c r="U16" s="33">
        <f t="shared" ref="U16:AC16" si="1">SUM(U4:U15)</f>
        <v>-959943.26</v>
      </c>
      <c r="V16" s="33">
        <f t="shared" si="1"/>
        <v>-944943.26</v>
      </c>
      <c r="W16" s="33">
        <f t="shared" si="1"/>
        <v>-945943.26</v>
      </c>
      <c r="X16" s="33">
        <f t="shared" si="1"/>
        <v>-972943.26</v>
      </c>
      <c r="Y16" s="33">
        <f t="shared" si="1"/>
        <v>-973943.26</v>
      </c>
      <c r="Z16" s="33">
        <f t="shared" si="1"/>
        <v>-973943.26</v>
      </c>
      <c r="AA16" s="33">
        <f t="shared" si="1"/>
        <v>-1004943.26</v>
      </c>
      <c r="AB16" s="33">
        <f t="shared" si="1"/>
        <v>-1004943.26</v>
      </c>
      <c r="AC16" s="33">
        <f t="shared" si="1"/>
        <v>-1005943.26</v>
      </c>
      <c r="AD16" s="33">
        <f t="shared" si="0"/>
        <v>0</v>
      </c>
      <c r="AE16" s="33">
        <f t="shared" si="0"/>
        <v>0</v>
      </c>
      <c r="AF16" s="33">
        <f t="shared" si="0"/>
        <v>0</v>
      </c>
      <c r="AG16" s="33">
        <f t="shared" si="0"/>
        <v>0</v>
      </c>
      <c r="AH16" s="33">
        <f t="shared" si="0"/>
        <v>0</v>
      </c>
      <c r="AI16" s="33">
        <f t="shared" si="0"/>
        <v>0</v>
      </c>
      <c r="AJ16" s="33">
        <f t="shared" si="0"/>
        <v>0</v>
      </c>
      <c r="AK16" s="33">
        <f t="shared" si="0"/>
        <v>0</v>
      </c>
      <c r="AL16" s="33">
        <f t="shared" si="0"/>
        <v>0</v>
      </c>
      <c r="AM16" s="33">
        <f t="shared" si="0"/>
        <v>0</v>
      </c>
      <c r="AN16" s="33">
        <f t="shared" si="0"/>
        <v>0</v>
      </c>
      <c r="AO16" s="33">
        <f t="shared" si="0"/>
        <v>0</v>
      </c>
      <c r="AP16" s="33">
        <f t="shared" si="0"/>
        <v>0</v>
      </c>
      <c r="AQ16" s="33">
        <f t="shared" si="0"/>
        <v>0</v>
      </c>
      <c r="AR16" s="33">
        <f t="shared" si="0"/>
        <v>0</v>
      </c>
      <c r="AS16" s="33">
        <f t="shared" si="0"/>
        <v>0</v>
      </c>
    </row>
  </sheetData>
  <mergeCells count="1">
    <mergeCell ref="A3:AS3"/>
  </mergeCells>
  <conditionalFormatting sqref="B1:AS2">
    <cfRule type="expression" dxfId="1" priority="2">
      <formula>B$2=CHOOSE(MONTH(TODAY()),"Enero","Febrero","Marzo","Abril","Mayo","Junio","Julio","Agosto","Septiembre","Octubre","Noviembre","Diciembre")&amp;" "&amp;YEAR(TODAY())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2"/>
  <sheetViews>
    <sheetView zoomScaleNormal="100" workbookViewId="0">
      <pane xSplit="1" ySplit="2" topLeftCell="N3" activePane="bottomRight" state="frozen"/>
      <selection pane="bottomRight" activeCell="Z6" sqref="Z6"/>
      <selection pane="bottomLeft" activeCell="A3" sqref="A3"/>
      <selection pane="topRight" activeCell="P1" sqref="P1"/>
    </sheetView>
  </sheetViews>
  <sheetFormatPr defaultColWidth="8.7109375" defaultRowHeight="15"/>
  <cols>
    <col min="1" max="1" width="28" style="1" customWidth="1"/>
    <col min="2" max="45" width="14" style="1" customWidth="1"/>
  </cols>
  <sheetData>
    <row r="1" spans="1:45" ht="19.5" customHeight="1"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</row>
    <row r="2" spans="1:45" ht="27.75" customHeight="1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 t="s">
        <v>38</v>
      </c>
      <c r="AK2" s="3" t="s">
        <v>39</v>
      </c>
      <c r="AL2" s="3" t="s">
        <v>40</v>
      </c>
      <c r="AM2" s="3" t="s">
        <v>41</v>
      </c>
      <c r="AN2" s="3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</row>
    <row r="3" spans="1:45" ht="19.5" customHeight="1">
      <c r="A3" s="62" t="s">
        <v>97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</row>
    <row r="4" spans="1:45" ht="18" customHeight="1">
      <c r="A4" s="34" t="s">
        <v>98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-50000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</row>
    <row r="5" spans="1:45" ht="18" customHeight="1">
      <c r="A5" s="34" t="s">
        <v>99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-250000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-400000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</row>
    <row r="6" spans="1:45" ht="18" customHeight="1">
      <c r="A6" s="34" t="s">
        <v>100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-492399</v>
      </c>
      <c r="N6" s="11">
        <v>-684195</v>
      </c>
      <c r="O6" s="11">
        <v>0</v>
      </c>
      <c r="P6" s="11">
        <v>0</v>
      </c>
      <c r="Q6" s="11"/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</row>
    <row r="7" spans="1:45" ht="18" customHeight="1">
      <c r="A7" s="34" t="s">
        <v>101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/>
      <c r="T7" s="11">
        <v>-200000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</row>
    <row r="8" spans="1:45" ht="18" customHeight="1">
      <c r="A8" s="34" t="s">
        <v>102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-85000</v>
      </c>
      <c r="R8" s="11">
        <v>-70000</v>
      </c>
      <c r="S8" s="11">
        <v>-70000</v>
      </c>
      <c r="T8" s="11">
        <v>-70000</v>
      </c>
      <c r="U8" s="11">
        <v>-70000</v>
      </c>
      <c r="V8" s="11">
        <v>-70000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</row>
    <row r="9" spans="1:45" ht="18" customHeight="1">
      <c r="A9" s="34" t="s">
        <v>103</v>
      </c>
      <c r="B9" s="11">
        <v>0</v>
      </c>
      <c r="C9" s="11">
        <v>0</v>
      </c>
      <c r="D9" s="11">
        <v>0</v>
      </c>
      <c r="E9" s="11">
        <v>0</v>
      </c>
      <c r="F9" s="11">
        <v>-760000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 t="s">
        <v>74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</row>
    <row r="10" spans="1:45" s="54" customFormat="1" ht="18" customHeight="1">
      <c r="A10" s="52" t="s">
        <v>104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</row>
    <row r="11" spans="1:45" ht="18" customHeight="1">
      <c r="A11" s="35" t="s">
        <v>64</v>
      </c>
      <c r="B11" s="36">
        <f>SUM(B4:B9)</f>
        <v>0</v>
      </c>
      <c r="C11" s="36">
        <f>SUM(C4:C9)</f>
        <v>0</v>
      </c>
      <c r="D11" s="36">
        <f>SUM(D4:D9)</f>
        <v>0</v>
      </c>
      <c r="E11" s="36">
        <f>SUM(E4:E9)</f>
        <v>0</v>
      </c>
      <c r="F11" s="36">
        <f>SUM(F4:F10)</f>
        <v>-760000</v>
      </c>
      <c r="G11" s="36">
        <f t="shared" ref="G11:AS11" si="0">SUM(G4:G10)</f>
        <v>0</v>
      </c>
      <c r="H11" s="36">
        <f t="shared" si="0"/>
        <v>0</v>
      </c>
      <c r="I11" s="36">
        <f t="shared" si="0"/>
        <v>0</v>
      </c>
      <c r="J11" s="36">
        <f t="shared" si="0"/>
        <v>0</v>
      </c>
      <c r="K11" s="36">
        <f t="shared" si="0"/>
        <v>-300000</v>
      </c>
      <c r="L11" s="36">
        <f t="shared" si="0"/>
        <v>0</v>
      </c>
      <c r="M11" s="36">
        <f t="shared" si="0"/>
        <v>-492399</v>
      </c>
      <c r="N11" s="36">
        <f t="shared" si="0"/>
        <v>-684195</v>
      </c>
      <c r="O11" s="36">
        <f t="shared" si="0"/>
        <v>0</v>
      </c>
      <c r="P11" s="36">
        <f t="shared" si="0"/>
        <v>0</v>
      </c>
      <c r="Q11" s="36">
        <f t="shared" si="0"/>
        <v>-85000</v>
      </c>
      <c r="R11" s="36">
        <f t="shared" si="0"/>
        <v>-70000</v>
      </c>
      <c r="S11" s="36">
        <f t="shared" si="0"/>
        <v>-70000</v>
      </c>
      <c r="T11" s="36">
        <f t="shared" si="0"/>
        <v>-270000</v>
      </c>
      <c r="U11" s="36">
        <f t="shared" si="0"/>
        <v>-70000</v>
      </c>
      <c r="V11" s="36">
        <f t="shared" si="0"/>
        <v>-70000</v>
      </c>
      <c r="W11" s="36">
        <f t="shared" si="0"/>
        <v>0</v>
      </c>
      <c r="X11" s="36">
        <f t="shared" si="0"/>
        <v>0</v>
      </c>
      <c r="Y11" s="36">
        <f t="shared" si="0"/>
        <v>0</v>
      </c>
      <c r="Z11" s="36">
        <f t="shared" si="0"/>
        <v>-400000</v>
      </c>
      <c r="AA11" s="36">
        <f t="shared" si="0"/>
        <v>0</v>
      </c>
      <c r="AB11" s="36">
        <f t="shared" si="0"/>
        <v>0</v>
      </c>
      <c r="AC11" s="36">
        <f t="shared" si="0"/>
        <v>0</v>
      </c>
      <c r="AD11" s="36">
        <f t="shared" si="0"/>
        <v>0</v>
      </c>
      <c r="AE11" s="36">
        <f t="shared" si="0"/>
        <v>0</v>
      </c>
      <c r="AF11" s="36">
        <f t="shared" si="0"/>
        <v>0</v>
      </c>
      <c r="AG11" s="36">
        <f t="shared" si="0"/>
        <v>0</v>
      </c>
      <c r="AH11" s="36">
        <f t="shared" si="0"/>
        <v>0</v>
      </c>
      <c r="AI11" s="36">
        <f t="shared" si="0"/>
        <v>0</v>
      </c>
      <c r="AJ11" s="36">
        <f t="shared" si="0"/>
        <v>0</v>
      </c>
      <c r="AK11" s="36">
        <f t="shared" si="0"/>
        <v>0</v>
      </c>
      <c r="AL11" s="36">
        <f t="shared" si="0"/>
        <v>0</v>
      </c>
      <c r="AM11" s="36">
        <f t="shared" si="0"/>
        <v>0</v>
      </c>
      <c r="AN11" s="36">
        <f t="shared" si="0"/>
        <v>0</v>
      </c>
      <c r="AO11" s="36">
        <f t="shared" si="0"/>
        <v>0</v>
      </c>
      <c r="AP11" s="36">
        <f t="shared" si="0"/>
        <v>0</v>
      </c>
      <c r="AQ11" s="36">
        <f t="shared" si="0"/>
        <v>0</v>
      </c>
      <c r="AR11" s="36">
        <f t="shared" si="0"/>
        <v>0</v>
      </c>
      <c r="AS11" s="36">
        <f t="shared" si="0"/>
        <v>0</v>
      </c>
    </row>
    <row r="12" spans="1:45" ht="15" customHeight="1"/>
  </sheetData>
  <mergeCells count="1">
    <mergeCell ref="A3:AS3"/>
  </mergeCells>
  <conditionalFormatting sqref="B1:AS2">
    <cfRule type="expression" dxfId="0" priority="2">
      <formula>B$2=CHOOSE(MONTH(TODAY()),"Enero","Febrero","Marzo","Abril","Mayo","Junio","Julio","Agosto","Septiembre","Octubre","Noviembre","Diciembre")&amp;" "&amp;YEAR(TODAY())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/>
  </sheetViews>
  <sheetFormatPr defaultColWidth="8.7109375" defaultRowHeight="15"/>
  <cols>
    <col min="1" max="1" width="28" style="1" customWidth="1"/>
    <col min="2" max="4" width="18" style="1" customWidth="1"/>
  </cols>
  <sheetData>
    <row r="1" spans="1:4" ht="15" customHeight="1">
      <c r="A1" s="59" t="s">
        <v>105</v>
      </c>
      <c r="B1" s="59"/>
      <c r="C1" s="59"/>
      <c r="D1" s="59"/>
    </row>
    <row r="2" spans="1:4" ht="15" customHeight="1">
      <c r="A2" s="37" t="s">
        <v>106</v>
      </c>
      <c r="B2" s="37" t="s">
        <v>107</v>
      </c>
      <c r="C2" s="37" t="s">
        <v>108</v>
      </c>
      <c r="D2" s="37" t="s">
        <v>109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zoomScaleNormal="100" workbookViewId="0">
      <selection activeCell="E9" sqref="E9"/>
    </sheetView>
  </sheetViews>
  <sheetFormatPr defaultColWidth="8.7109375" defaultRowHeight="15"/>
  <cols>
    <col min="1" max="1" width="26" style="1" customWidth="1"/>
    <col min="2" max="2" width="11" style="1" customWidth="1"/>
    <col min="3" max="3" width="14" style="1" customWidth="1"/>
    <col min="4" max="4" width="16" style="1" customWidth="1"/>
    <col min="5" max="5" width="18" style="1" customWidth="1"/>
    <col min="6" max="6" width="16" style="1" customWidth="1"/>
    <col min="7" max="7" width="11" style="1" customWidth="1"/>
    <col min="8" max="8" width="17" style="1" customWidth="1"/>
    <col min="9" max="9" width="14" style="1" customWidth="1"/>
  </cols>
  <sheetData>
    <row r="1" spans="1:9" ht="31.5" customHeight="1">
      <c r="A1" s="64" t="s">
        <v>110</v>
      </c>
      <c r="B1" s="64"/>
      <c r="C1" s="64"/>
      <c r="D1" s="64"/>
      <c r="E1" s="64"/>
      <c r="F1" s="64"/>
      <c r="G1" s="64"/>
      <c r="H1" s="64"/>
      <c r="I1" s="64"/>
    </row>
    <row r="2" spans="1:9" ht="19.5" customHeight="1">
      <c r="A2" s="65" t="s">
        <v>111</v>
      </c>
      <c r="B2" s="65"/>
      <c r="C2" s="65"/>
      <c r="D2" s="65"/>
      <c r="E2" s="65"/>
      <c r="F2" s="65"/>
      <c r="G2" s="65"/>
      <c r="H2" s="65"/>
      <c r="I2" s="65"/>
    </row>
    <row r="3" spans="1:9" ht="19.5" customHeight="1">
      <c r="A3" s="38" t="s">
        <v>112</v>
      </c>
      <c r="B3" s="39">
        <v>200000</v>
      </c>
      <c r="C3" s="66" t="s">
        <v>113</v>
      </c>
      <c r="D3" s="66"/>
      <c r="E3" s="66"/>
      <c r="F3" s="66"/>
      <c r="G3" s="66"/>
      <c r="H3" s="66"/>
      <c r="I3" s="66"/>
    </row>
    <row r="4" spans="1:9" ht="7.5" customHeight="1"/>
    <row r="5" spans="1:9" ht="27.75" customHeight="1">
      <c r="A5" s="57" t="s">
        <v>114</v>
      </c>
      <c r="B5" s="57" t="s">
        <v>115</v>
      </c>
      <c r="C5" s="57" t="s">
        <v>116</v>
      </c>
      <c r="D5" s="57" t="s">
        <v>117</v>
      </c>
      <c r="E5" s="57" t="s">
        <v>118</v>
      </c>
      <c r="F5" s="57" t="s">
        <v>119</v>
      </c>
      <c r="G5" s="57" t="s">
        <v>120</v>
      </c>
      <c r="H5" s="57" t="s">
        <v>121</v>
      </c>
      <c r="I5" s="57" t="s">
        <v>122</v>
      </c>
    </row>
    <row r="6" spans="1:9" ht="21.75" customHeight="1">
      <c r="A6" s="4" t="s">
        <v>123</v>
      </c>
      <c r="B6" s="40">
        <v>1</v>
      </c>
      <c r="C6" s="40" t="s">
        <v>124</v>
      </c>
      <c r="D6" s="41">
        <v>650000</v>
      </c>
      <c r="E6" s="41">
        <v>0</v>
      </c>
      <c r="F6" s="5">
        <f>IF(D6=0,"-",D6-E6)</f>
        <v>650000</v>
      </c>
      <c r="G6" s="42">
        <f>IF(D6=0,"-",E6/D6)</f>
        <v>0</v>
      </c>
      <c r="H6" s="43">
        <f>IF(D6=0,"-",IF(E6&gt;=D6,0,CEILING((D6-E6)/$B$3,1)))</f>
        <v>4</v>
      </c>
      <c r="I6" s="40" t="str">
        <f>IF(D6=0,"N/A",IF(E6&gt;=D6,"✅ LISTO",IF(E6/D6&gt;=0.5,"🟡 EN CURSO","🔴 PENDIENTE")))</f>
        <v>🔴 PENDIENTE</v>
      </c>
    </row>
    <row r="7" spans="1:9" ht="21.75" customHeight="1">
      <c r="A7" s="6" t="s">
        <v>125</v>
      </c>
      <c r="B7" s="44">
        <v>2</v>
      </c>
      <c r="C7" s="44" t="s">
        <v>126</v>
      </c>
      <c r="D7" s="45">
        <v>650000</v>
      </c>
      <c r="E7" s="45">
        <v>0</v>
      </c>
      <c r="F7" s="7">
        <f>IF(D7=0,"-",D7-E7)</f>
        <v>650000</v>
      </c>
      <c r="G7" s="46">
        <f>IF(D7=0,"-",E7/D7)</f>
        <v>0</v>
      </c>
      <c r="H7" s="47">
        <f>IF(D7=0,"-",IF(E7&gt;=D7,0,F6/$B$3+CEILING((D7-E7)/$B$3,1)))</f>
        <v>7.25</v>
      </c>
      <c r="I7" s="44" t="str">
        <f>IF(D7=0,"N/A",IF(E7&gt;=D7,"✅ LISTO",IF(E7/D7&gt;=0.5,"🟡 EN CURSO","🔴 PENDIENTE")))</f>
        <v>🔴 PENDIENTE</v>
      </c>
    </row>
    <row r="8" spans="1:9" ht="21.75" customHeight="1">
      <c r="A8" s="8" t="s">
        <v>127</v>
      </c>
      <c r="B8" s="48">
        <v>3</v>
      </c>
      <c r="C8" s="48" t="s">
        <v>128</v>
      </c>
      <c r="D8" s="49">
        <v>0</v>
      </c>
      <c r="E8" s="49">
        <v>0</v>
      </c>
      <c r="F8" s="9" t="str">
        <f>IF(D8=0,"-",D8-E8)</f>
        <v>-</v>
      </c>
      <c r="G8" s="50" t="str">
        <f>IF(D8=0,"-",E8/D8)</f>
        <v>-</v>
      </c>
      <c r="H8" s="51" t="s">
        <v>129</v>
      </c>
      <c r="I8" s="48" t="str">
        <f>IF(E8&gt;0,"💰 INVIRTIENDO","⏳ PRÓXIMO")</f>
        <v>⏳ PRÓXIMO</v>
      </c>
    </row>
    <row r="9" spans="1:9" ht="21.75" customHeight="1">
      <c r="A9" s="67" t="s">
        <v>130</v>
      </c>
      <c r="B9" s="67"/>
      <c r="C9" s="67"/>
      <c r="D9" s="13">
        <f>D6+D7</f>
        <v>1300000</v>
      </c>
      <c r="E9" s="13">
        <f>E6+E7</f>
        <v>0</v>
      </c>
      <c r="F9" s="13">
        <f>F6+F7</f>
        <v>1300000</v>
      </c>
    </row>
    <row r="10" spans="1:9" ht="7.5" customHeight="1"/>
    <row r="11" spans="1:9" ht="19.5" customHeight="1">
      <c r="A11" s="68" t="s">
        <v>131</v>
      </c>
      <c r="B11" s="68"/>
      <c r="C11" s="68"/>
      <c r="D11" s="68"/>
      <c r="E11" s="68"/>
      <c r="F11" s="68"/>
      <c r="G11" s="68"/>
      <c r="H11" s="68"/>
      <c r="I11" s="68"/>
    </row>
    <row r="12" spans="1:9" ht="18" customHeight="1">
      <c r="A12" s="63" t="s">
        <v>132</v>
      </c>
      <c r="B12" s="63"/>
      <c r="C12" s="63"/>
      <c r="D12" s="63"/>
      <c r="E12" s="63"/>
      <c r="F12" s="63"/>
      <c r="G12" s="63"/>
      <c r="H12" s="63"/>
      <c r="I12" s="63"/>
    </row>
    <row r="13" spans="1:9" ht="18" customHeight="1">
      <c r="A13" s="63" t="s">
        <v>133</v>
      </c>
      <c r="B13" s="63"/>
      <c r="C13" s="63"/>
      <c r="D13" s="63"/>
      <c r="E13" s="63"/>
      <c r="F13" s="63"/>
      <c r="G13" s="63"/>
      <c r="H13" s="63"/>
      <c r="I13" s="63"/>
    </row>
    <row r="14" spans="1:9" ht="18" customHeight="1">
      <c r="A14" s="63" t="s">
        <v>134</v>
      </c>
      <c r="B14" s="63"/>
      <c r="C14" s="63"/>
      <c r="D14" s="63"/>
      <c r="E14" s="63"/>
      <c r="F14" s="63"/>
      <c r="G14" s="63"/>
      <c r="H14" s="63"/>
      <c r="I14" s="63"/>
    </row>
  </sheetData>
  <mergeCells count="8">
    <mergeCell ref="A12:I12"/>
    <mergeCell ref="A13:I13"/>
    <mergeCell ref="A14:I14"/>
    <mergeCell ref="A1:I1"/>
    <mergeCell ref="A2:I2"/>
    <mergeCell ref="C3:I3"/>
    <mergeCell ref="A9:C9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2026-06-27T10:25:36Z</dcterms:created>
  <dcterms:modified xsi:type="dcterms:W3CDTF">2026-09-12T20:05:02Z</dcterms:modified>
  <cp:category/>
  <cp:contentStatus/>
</cp:coreProperties>
</file>