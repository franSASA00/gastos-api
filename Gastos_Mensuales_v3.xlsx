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/>
  <xr:revisionPtr revIDLastSave="0" documentId="8_{ECF7DB5F-9771-4D1C-8ABF-914FEC9F3839}" xr6:coauthVersionLast="47" xr6:coauthVersionMax="47" xr10:uidLastSave="{00000000-0000-0000-0000-000000000000}"/>
  <bookViews>
    <workbookView xWindow="0" yWindow="0" windowWidth="16380" windowHeight="8190" tabRatio="500" activeTab="3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B13" i="4"/>
  <c r="Z11" i="5"/>
  <c r="K11" i="5"/>
  <c r="H7" i="7"/>
  <c r="E9" i="7"/>
  <c r="D9" i="7"/>
  <c r="I8" i="7"/>
  <c r="G8" i="7"/>
  <c r="F8" i="7"/>
  <c r="I7" i="7"/>
  <c r="I6" i="7"/>
  <c r="H6" i="7"/>
  <c r="AS11" i="5"/>
  <c r="AR11" i="5"/>
  <c r="AQ11" i="5"/>
  <c r="AP11" i="5"/>
  <c r="AO11" i="5"/>
  <c r="AN11" i="5"/>
  <c r="AN7" i="1" s="1"/>
  <c r="AM11" i="5"/>
  <c r="AL11" i="5"/>
  <c r="AK11" i="5"/>
  <c r="AJ11" i="5"/>
  <c r="AI11" i="5"/>
  <c r="AH11" i="5"/>
  <c r="AG11" i="5"/>
  <c r="AF11" i="5"/>
  <c r="AF7" i="1" s="1"/>
  <c r="AE11" i="5"/>
  <c r="AD11" i="5"/>
  <c r="AC11" i="5"/>
  <c r="AB11" i="5"/>
  <c r="AA11" i="5"/>
  <c r="Y11" i="5"/>
  <c r="X11" i="5"/>
  <c r="X7" i="1" s="1"/>
  <c r="W11" i="5"/>
  <c r="V11" i="5"/>
  <c r="U11" i="5"/>
  <c r="T11" i="5"/>
  <c r="S11" i="5"/>
  <c r="R11" i="5"/>
  <c r="Q11" i="5"/>
  <c r="P11" i="5"/>
  <c r="P7" i="1" s="1"/>
  <c r="O11" i="5"/>
  <c r="N11" i="5"/>
  <c r="M11" i="5"/>
  <c r="L11" i="5"/>
  <c r="J11" i="5"/>
  <c r="I11" i="5"/>
  <c r="H11" i="5"/>
  <c r="H7" i="1" s="1"/>
  <c r="G11" i="5"/>
  <c r="F11" i="5"/>
  <c r="E11" i="5"/>
  <c r="D11" i="5"/>
  <c r="C11" i="5"/>
  <c r="B11" i="5"/>
  <c r="AR6" i="1"/>
  <c r="AJ6" i="1"/>
  <c r="AB6" i="1"/>
  <c r="T6" i="1"/>
  <c r="L6" i="1"/>
  <c r="D6" i="1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S16" i="1" s="1"/>
  <c r="AQ4" i="1"/>
  <c r="AQ8" i="1" s="1"/>
  <c r="AQ16" i="1" s="1"/>
  <c r="AP4" i="1"/>
  <c r="AP8" i="1" s="1"/>
  <c r="AP16" i="1" s="1"/>
  <c r="AO4" i="1"/>
  <c r="AO8" i="1" s="1"/>
  <c r="AO16" i="1" s="1"/>
  <c r="AN4" i="1"/>
  <c r="AM4" i="1"/>
  <c r="AM8" i="1" s="1"/>
  <c r="AM16" i="1" s="1"/>
  <c r="AL4" i="1"/>
  <c r="AL8" i="1" s="1"/>
  <c r="AL16" i="1" s="1"/>
  <c r="AK4" i="1"/>
  <c r="AK8" i="1" s="1"/>
  <c r="AK16" i="1" s="1"/>
  <c r="AI4" i="1"/>
  <c r="AI8" i="1" s="1"/>
  <c r="AI16" i="1" s="1"/>
  <c r="AH4" i="1"/>
  <c r="AH8" i="1" s="1"/>
  <c r="AH16" i="1" s="1"/>
  <c r="AG4" i="1"/>
  <c r="AG8" i="1" s="1"/>
  <c r="AG16" i="1" s="1"/>
  <c r="AF4" i="1"/>
  <c r="AE4" i="1"/>
  <c r="AE8" i="1" s="1"/>
  <c r="AE16" i="1" s="1"/>
  <c r="AD4" i="1"/>
  <c r="AD8" i="1" s="1"/>
  <c r="AD16" i="1" s="1"/>
  <c r="AC4" i="1"/>
  <c r="AC8" i="1" s="1"/>
  <c r="AC16" i="1" s="1"/>
  <c r="AA4" i="1"/>
  <c r="AA8" i="1" s="1"/>
  <c r="AA16" i="1" s="1"/>
  <c r="Z4" i="1"/>
  <c r="Z8" i="1" s="1"/>
  <c r="Z16" i="1" s="1"/>
  <c r="Y4" i="1"/>
  <c r="Y8" i="1" s="1"/>
  <c r="Y16" i="1" s="1"/>
  <c r="X4" i="1"/>
  <c r="W4" i="1"/>
  <c r="W8" i="1" s="1"/>
  <c r="W16" i="1" s="1"/>
  <c r="V4" i="1"/>
  <c r="V8" i="1" s="1"/>
  <c r="V16" i="1" s="1"/>
  <c r="U4" i="1"/>
  <c r="U8" i="1" s="1"/>
  <c r="Q8" i="1"/>
  <c r="Q16" i="1" s="1"/>
  <c r="P4" i="1"/>
  <c r="O4" i="1"/>
  <c r="O8" i="1" s="1"/>
  <c r="O16" i="1" s="1"/>
  <c r="N4" i="1"/>
  <c r="N8" i="1" s="1"/>
  <c r="N16" i="1" s="1"/>
  <c r="M4" i="1"/>
  <c r="M8" i="1" s="1"/>
  <c r="M16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D8" i="1" l="1"/>
  <c r="S8" i="1"/>
  <c r="T8" i="1"/>
  <c r="AB8" i="1"/>
  <c r="AB16" i="1" s="1"/>
  <c r="AJ8" i="1"/>
  <c r="AJ16" i="1" s="1"/>
  <c r="AR8" i="1"/>
  <c r="AR16" i="1" s="1"/>
  <c r="R8" i="1"/>
  <c r="R16" i="1" s="1"/>
  <c r="H8" i="1"/>
  <c r="H16" i="1" s="1"/>
  <c r="AF8" i="1"/>
  <c r="AF16" i="1" s="1"/>
  <c r="J16" i="1"/>
  <c r="AN8" i="1"/>
  <c r="AN16" i="1" s="1"/>
  <c r="E16" i="1"/>
  <c r="T16" i="1"/>
  <c r="U16" i="1"/>
  <c r="P8" i="1"/>
  <c r="P16" i="1" s="1"/>
  <c r="D16" i="1"/>
  <c r="X8" i="1"/>
  <c r="X16" i="1" s="1"/>
  <c r="C16" i="1"/>
  <c r="K16" i="1"/>
  <c r="S16" i="1"/>
  <c r="L8" i="1"/>
  <c r="L16" i="1" s="1"/>
  <c r="B16" i="1"/>
  <c r="F9" i="7"/>
</calcChain>
</file>

<file path=xl/sharedStrings.xml><?xml version="1.0" encoding="utf-8"?>
<sst xmlns="http://schemas.openxmlformats.org/spreadsheetml/2006/main" count="533" uniqueCount="129">
  <si>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</si>
  <si>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</si>
  <si>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</si>
  <si>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</si>
  <si>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</si>
  <si>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</si>
  <si>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</si>
  <si>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</si>
  <si>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</si>
  <si>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</si>
  <si>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</si>
  <si>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</si>
  <si>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</si>
  <si>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</si>
  <si>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</si>
  <si>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</si>
  <si>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</si>
  <si>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</si>
  <si>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</si>
  <si>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</si>
  <si>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</si>
  <si>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</si>
  <si>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</si>
  <si>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</si>
  <si>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</si>
  <si>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</si>
  <si>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</si>
  <si>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</si>
  <si>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</si>
  <si>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</si>
  <si>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</si>
  <si>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</si>
  <si>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</si>
  <si>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</si>
  <si>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</si>
  <si>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</si>
  <si>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</si>
  <si>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</si>
  <si>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</si>
  <si>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</si>
  <si>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</si>
  <si>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</si>
  <si>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</si>
  <si>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</si>
  <si>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</si>
  <si>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</si>
  <si>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</si>
  <si>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</si>
  <si>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</si>
  <si>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</si>
  <si>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</si>
  <si>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</si>
  <si>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</si>
  <si>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</si>
  <si>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</si>
  <si>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</si>
  <si>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</si>
  <si>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</si>
  <si>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</si>
  <si>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</si>
  <si>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</si>
  <si>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</si>
  <si>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</si>
  <si>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</si>
  <si>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</si>
  <si>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</si>
  <si>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</si>
  <si>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</si>
  <si>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</si>
  <si>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</si>
  <si>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</si>
  <si>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-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</si>
  <si>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</si>
  <si>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</si>
  <si>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</si>
  <si>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</si>
  <si>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</si>
  <si>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</si>
  <si>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</si>
  <si>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</si>
  <si>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</si>
  <si>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</si>
  <si>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</si>
  <si>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</si>
  <si>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</si>
  <si>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</si>
  <si>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</si>
  <si>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</si>
  <si>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</si>
  <si>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Alquier (Agua y Cloaca)</t>
  </si>
  <si>
    <t>Alquiler</t>
  </si>
  <si>
    <t>📋 DEUDAS &amp; GASTOS VARIOS</t>
  </si>
  <si>
    <t>Papá</t>
  </si>
  <si>
    <t>Juani</t>
  </si>
  <si>
    <t>Gastos Comida</t>
  </si>
  <si>
    <t>Entradas a casamiento</t>
  </si>
  <si>
    <t>Gastos Varios</t>
  </si>
  <si>
    <t>Aguinaldos Franco</t>
  </si>
  <si>
    <t>Mes adelantado + % contrato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</si>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</sst>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164" fontId="5" fillId="25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ont>
        <color rgb="FF00B050"/>
      </font>
      <fill>
        <patternFill patternType="solid">
          <bgColor theme="0"/>
        </patternFill>
      </fill>
    </dxf>
    <dxf>
      <font>
        <color rgb="FFC0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8"/>
  <sheetViews>
    <sheetView zoomScaleNormal="100" workbookViewId="0">
      <pane xSplit="1" ySplit="2" topLeftCell="N3" activePane="bottomRight" state="frozen"/>
      <selection pane="bottomRight" activeCell="S1" sqref="S1:S1048576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26" t="s">
        <v>49</v>
      </c>
      <c r="B4" s="27">
        <f>Tarjetas_Bancos!B13</f>
        <v>-2307584.0099999998</v>
      </c>
      <c r="C4" s="27">
        <f>Tarjetas_Bancos!C13</f>
        <v>-1341061.69</v>
      </c>
      <c r="D4" s="27">
        <f>Tarjetas_Bancos!D13</f>
        <v>-2287461.69</v>
      </c>
      <c r="E4" s="27">
        <f>Tarjetas_Bancos!E13</f>
        <v>-2689870</v>
      </c>
      <c r="F4" s="27">
        <f>Tarjetas_Bancos!F13</f>
        <v>-2153870</v>
      </c>
      <c r="G4" s="27">
        <f>Tarjetas_Bancos!G13</f>
        <v>-2806870</v>
      </c>
      <c r="H4" s="27">
        <f>Tarjetas_Bancos!H13</f>
        <v>-6759277</v>
      </c>
      <c r="I4" s="27">
        <f>Tarjetas_Bancos!I13</f>
        <v>-1860000</v>
      </c>
      <c r="J4" s="27">
        <f>Tarjetas_Bancos!J13</f>
        <v>-2744000</v>
      </c>
      <c r="K4" s="27">
        <f>Tarjetas_Bancos!K13</f>
        <v>-2611000</v>
      </c>
      <c r="L4" s="27">
        <f>Tarjetas_Bancos!L13</f>
        <v>-1161000</v>
      </c>
      <c r="M4" s="27">
        <f>Tarjetas_Bancos!M13</f>
        <v>-938000</v>
      </c>
      <c r="N4" s="27">
        <f>Tarjetas_Bancos!N13</f>
        <v>-1124000</v>
      </c>
      <c r="O4" s="27">
        <f>Tarjetas_Bancos!O13</f>
        <v>-575000</v>
      </c>
      <c r="P4" s="27">
        <f>Tarjetas_Bancos!P13</f>
        <v>-844000</v>
      </c>
      <c r="Q4" s="27">
        <f>Tarjetas_Bancos!Q13</f>
        <v>-897000</v>
      </c>
      <c r="R4" s="27">
        <f>Tarjetas_Bancos!R13</f>
        <v>-1214000</v>
      </c>
      <c r="S4" s="27">
        <f>Tarjetas_Bancos!S13</f>
        <v>-839000</v>
      </c>
      <c r="T4" s="27">
        <f>Tarjetas_Bancos!T13</f>
        <v>-679000</v>
      </c>
      <c r="U4" s="27">
        <f>Tarjetas_Bancos!U13</f>
        <v>-339000</v>
      </c>
      <c r="V4" s="27">
        <f>Tarjetas_Bancos!V13</f>
        <v>-339000</v>
      </c>
      <c r="W4" s="27">
        <f>Tarjetas_Bancos!W13</f>
        <v>-139000</v>
      </c>
      <c r="X4" s="27">
        <f>Tarjetas_Bancos!X13</f>
        <v>-139000</v>
      </c>
      <c r="Y4" s="27">
        <f>Tarjetas_Bancos!Y13</f>
        <v>-139000</v>
      </c>
      <c r="Z4" s="27">
        <f>Tarjetas_Bancos!Z13</f>
        <v>-139000</v>
      </c>
      <c r="AA4" s="27">
        <f>Tarjetas_Bancos!AA13</f>
        <v>-139000</v>
      </c>
      <c r="AB4" s="27">
        <f>Tarjetas_Bancos!AB13</f>
        <v>-139000</v>
      </c>
      <c r="AC4" s="27">
        <f>Tarjetas_Bancos!AC13</f>
        <v>-139000</v>
      </c>
      <c r="AD4" s="27">
        <f>Tarjetas_Bancos!AD13</f>
        <v>-139000</v>
      </c>
      <c r="AE4" s="27">
        <f>Tarjetas_Bancos!AE13</f>
        <v>-139000</v>
      </c>
      <c r="AF4" s="27">
        <f>Tarjetas_Bancos!AF13</f>
        <v>-139000</v>
      </c>
      <c r="AG4" s="27">
        <f>Tarjetas_Bancos!AG13</f>
        <v>-139000</v>
      </c>
      <c r="AH4" s="27">
        <f>Tarjetas_Bancos!AH13</f>
        <v>-139000</v>
      </c>
      <c r="AI4" s="27">
        <f>Tarjetas_Bancos!AI13</f>
        <v>-139000</v>
      </c>
      <c r="AJ4" s="27">
        <f>Tarjetas_Bancos!AJ13</f>
        <v>0</v>
      </c>
      <c r="AK4" s="27">
        <f>Tarjetas_Bancos!AK13</f>
        <v>0</v>
      </c>
      <c r="AL4" s="27">
        <f>Tarjetas_Bancos!AL13</f>
        <v>0</v>
      </c>
      <c r="AM4" s="27">
        <f>Tarjetas_Bancos!AM13</f>
        <v>0</v>
      </c>
      <c r="AN4" s="27">
        <f>Tarjetas_Bancos!AN13</f>
        <v>0</v>
      </c>
      <c r="AO4" s="27">
        <f>Tarjetas_Bancos!AO13</f>
        <v>0</v>
      </c>
      <c r="AP4" s="27">
        <f>Tarjetas_Bancos!AP13</f>
        <v>0</v>
      </c>
      <c r="AQ4" s="27">
        <f>Tarjetas_Bancos!AQ13</f>
        <v>0</v>
      </c>
      <c r="AR4" s="27">
        <f>Tarjetas_Bancos!AR13</f>
        <v>0</v>
      </c>
      <c r="AS4" s="27">
        <f>Tarjetas_Bancos!AS13</f>
        <v>0</v>
      </c>
    </row>
    <row r="5" spans="1:45" ht="18" customHeight="1">
      <c r="A5" s="28" t="s">
        <v>50</v>
      </c>
      <c r="B5" s="29">
        <f>Gastos_Personales!B10</f>
        <v>0</v>
      </c>
      <c r="C5" s="29">
        <f>Gastos_Personales!C10</f>
        <v>0</v>
      </c>
      <c r="D5" s="29">
        <f>Gastos_Personales!D10</f>
        <v>0</v>
      </c>
      <c r="E5" s="29">
        <f>Gastos_Personales!E10</f>
        <v>0</v>
      </c>
      <c r="F5" s="29">
        <f>Gastos_Personales!F10</f>
        <v>0</v>
      </c>
      <c r="G5" s="29">
        <f>Gastos_Personales!G10</f>
        <v>0</v>
      </c>
      <c r="H5" s="29">
        <f>Gastos_Personales!H10</f>
        <v>0</v>
      </c>
      <c r="I5" s="29">
        <f>Gastos_Personales!I10</f>
        <v>-70000</v>
      </c>
      <c r="J5" s="29">
        <f>Gastos_Personales!J10</f>
        <v>0</v>
      </c>
      <c r="K5" s="29">
        <f>Gastos_Personales!K10</f>
        <v>0</v>
      </c>
      <c r="L5" s="29">
        <f>Gastos_Personales!L10</f>
        <v>0</v>
      </c>
      <c r="M5" s="29">
        <f>Gastos_Personales!M10</f>
        <v>-39000</v>
      </c>
      <c r="N5" s="29">
        <f>Gastos_Personales!N10</f>
        <v>-39000</v>
      </c>
      <c r="O5" s="29">
        <f>Gastos_Personales!O10</f>
        <v>0</v>
      </c>
      <c r="P5" s="29">
        <f>Gastos_Personales!P10</f>
        <v>0</v>
      </c>
      <c r="Q5" s="29">
        <f>Gastos_Personales!Q10</f>
        <v>-180000</v>
      </c>
      <c r="R5" s="29">
        <f>Gastos_Personales!R10</f>
        <v>-360000</v>
      </c>
      <c r="S5" s="29">
        <f>Gastos_Personales!S10</f>
        <v>-225000</v>
      </c>
      <c r="T5" s="29">
        <f>Gastos_Personales!T10</f>
        <v>-195000</v>
      </c>
      <c r="U5" s="29">
        <f>Gastos_Personales!U10</f>
        <v>-195000</v>
      </c>
      <c r="V5" s="29">
        <f>Gastos_Personales!V10</f>
        <v>-195000</v>
      </c>
      <c r="W5" s="29">
        <f>Gastos_Personales!W10</f>
        <v>-195000</v>
      </c>
      <c r="X5" s="29">
        <f>Gastos_Personales!X10</f>
        <v>0</v>
      </c>
      <c r="Y5" s="29">
        <f>Gastos_Personales!Y10</f>
        <v>0</v>
      </c>
      <c r="Z5" s="29">
        <f>Gastos_Personales!Z10</f>
        <v>0</v>
      </c>
      <c r="AA5" s="29">
        <f>Gastos_Personales!AA10</f>
        <v>0</v>
      </c>
      <c r="AB5" s="29">
        <f>Gastos_Personales!AB10</f>
        <v>0</v>
      </c>
      <c r="AC5" s="29">
        <f>Gastos_Personales!AC10</f>
        <v>0</v>
      </c>
      <c r="AD5" s="29">
        <f>Gastos_Personales!AD10</f>
        <v>0</v>
      </c>
      <c r="AE5" s="29">
        <f>Gastos_Personales!AE10</f>
        <v>0</v>
      </c>
      <c r="AF5" s="29">
        <f>Gastos_Personales!AF10</f>
        <v>0</v>
      </c>
      <c r="AG5" s="29">
        <f>Gastos_Personales!AG10</f>
        <v>0</v>
      </c>
      <c r="AH5" s="29">
        <f>Gastos_Personales!AH10</f>
        <v>0</v>
      </c>
      <c r="AI5" s="29">
        <f>Gastos_Personales!AI10</f>
        <v>0</v>
      </c>
      <c r="AJ5" s="29">
        <f>Gastos_Personales!AJ10</f>
        <v>0</v>
      </c>
      <c r="AK5" s="29">
        <f>Gastos_Personales!AK10</f>
        <v>0</v>
      </c>
      <c r="AL5" s="29">
        <f>Gastos_Personales!AL10</f>
        <v>0</v>
      </c>
      <c r="AM5" s="29">
        <f>Gastos_Personales!AM10</f>
        <v>0</v>
      </c>
      <c r="AN5" s="29">
        <f>Gastos_Personales!AN10</f>
        <v>0</v>
      </c>
      <c r="AO5" s="29">
        <f>Gastos_Personales!AO10</f>
        <v>0</v>
      </c>
      <c r="AP5" s="29">
        <f>Gastos_Personales!AP10</f>
        <v>0</v>
      </c>
      <c r="AQ5" s="29">
        <f>Gastos_Personales!AQ10</f>
        <v>0</v>
      </c>
      <c r="AR5" s="29">
        <f>Gastos_Personales!AR10</f>
        <v>0</v>
      </c>
      <c r="AS5" s="29">
        <f>Gastos_Personales!AS10</f>
        <v>0</v>
      </c>
    </row>
    <row r="6" spans="1:45" ht="18" customHeight="1">
      <c r="A6" s="30" t="s">
        <v>51</v>
      </c>
      <c r="B6" s="31">
        <f>Hogar!B13</f>
        <v>0</v>
      </c>
      <c r="C6" s="31">
        <f>Hogar!C13</f>
        <v>0</v>
      </c>
      <c r="D6" s="31">
        <f>Hogar!D13</f>
        <v>0</v>
      </c>
      <c r="E6" s="31">
        <f>Hogar!E13</f>
        <v>-24000</v>
      </c>
      <c r="F6" s="31">
        <f>Hogar!F13</f>
        <v>-627000</v>
      </c>
      <c r="G6" s="31">
        <f>Hogar!G13</f>
        <v>-611200</v>
      </c>
      <c r="H6" s="31">
        <f>Hogar!H13</f>
        <v>-810800</v>
      </c>
      <c r="I6" s="31">
        <f>Hogar!I13</f>
        <v>-822060</v>
      </c>
      <c r="J6" s="31">
        <f>Hogar!J13</f>
        <v>-812160</v>
      </c>
      <c r="K6" s="31">
        <f>Hogar!K13</f>
        <v>-853360</v>
      </c>
      <c r="L6" s="31">
        <f>Hogar!L13</f>
        <v>-807000</v>
      </c>
      <c r="M6" s="31">
        <f>Hogar!M13</f>
        <v>-922600</v>
      </c>
      <c r="N6" s="31">
        <f>Hogar!N13</f>
        <v>-902804</v>
      </c>
      <c r="O6" s="31">
        <f>Hogar!O13</f>
        <v>-847601.26</v>
      </c>
      <c r="P6" s="31">
        <f>Hogar!P13</f>
        <v>-858601.26</v>
      </c>
      <c r="Q6" s="31">
        <f>Hogar!Q13</f>
        <v>-831481.26</v>
      </c>
      <c r="R6" s="31">
        <f>Hogar!R13</f>
        <v>-932181.26</v>
      </c>
      <c r="S6" s="31">
        <f>Hogar!S13</f>
        <v>-895660.26</v>
      </c>
      <c r="T6" s="31">
        <f>Hogar!T13</f>
        <v>-907660.26</v>
      </c>
      <c r="U6" s="31">
        <f>Hogar!U13</f>
        <v>-938660.26</v>
      </c>
      <c r="V6" s="31">
        <f>Hogar!V13</f>
        <v>-943660.26</v>
      </c>
      <c r="W6" s="31">
        <f>Hogar!W13</f>
        <v>-944660.26</v>
      </c>
      <c r="X6" s="31">
        <f>Hogar!X13</f>
        <v>-971660.26</v>
      </c>
      <c r="Y6" s="31">
        <f>Hogar!Y13</f>
        <v>-602000</v>
      </c>
      <c r="Z6" s="31">
        <f>Hogar!Z13</f>
        <v>-602000</v>
      </c>
      <c r="AA6" s="31">
        <f>Hogar!AA13</f>
        <v>-633000</v>
      </c>
      <c r="AB6" s="31">
        <f>Hogar!AB13</f>
        <v>-633000</v>
      </c>
      <c r="AC6" s="31">
        <f>Hogar!AC13</f>
        <v>-634000</v>
      </c>
      <c r="AD6" s="31">
        <f>Hogar!AD13</f>
        <v>0</v>
      </c>
      <c r="AE6" s="31">
        <f>Hogar!AE13</f>
        <v>0</v>
      </c>
      <c r="AF6" s="31">
        <f>Hogar!AF13</f>
        <v>0</v>
      </c>
      <c r="AG6" s="31">
        <f>Hogar!AG13</f>
        <v>0</v>
      </c>
      <c r="AH6" s="31">
        <f>Hogar!AH13</f>
        <v>0</v>
      </c>
      <c r="AI6" s="31">
        <f>Hogar!AI13</f>
        <v>0</v>
      </c>
      <c r="AJ6" s="31">
        <f>Hogar!AJ13</f>
        <v>0</v>
      </c>
      <c r="AK6" s="31">
        <f>Hogar!AK13</f>
        <v>0</v>
      </c>
      <c r="AL6" s="31">
        <f>Hogar!AL13</f>
        <v>0</v>
      </c>
      <c r="AM6" s="31">
        <f>Hogar!AM13</f>
        <v>0</v>
      </c>
      <c r="AN6" s="31">
        <f>Hogar!AN13</f>
        <v>0</v>
      </c>
      <c r="AO6" s="31">
        <f>Hogar!AO13</f>
        <v>0</v>
      </c>
      <c r="AP6" s="31">
        <f>Hogar!AP13</f>
        <v>0</v>
      </c>
      <c r="AQ6" s="31">
        <f>Hogar!AQ13</f>
        <v>0</v>
      </c>
      <c r="AR6" s="31">
        <f>Hogar!AR13</f>
        <v>0</v>
      </c>
      <c r="AS6" s="31">
        <f>Hogar!AS13</f>
        <v>0</v>
      </c>
    </row>
    <row r="7" spans="1:45" ht="18" customHeight="1">
      <c r="A7" s="32" t="s">
        <v>52</v>
      </c>
      <c r="B7" s="33">
        <f>Deudas_Varios!B11</f>
        <v>0</v>
      </c>
      <c r="C7" s="33">
        <f>Deudas_Varios!C11</f>
        <v>0</v>
      </c>
      <c r="D7" s="33">
        <f>Deudas_Varios!D11</f>
        <v>0</v>
      </c>
      <c r="E7" s="33">
        <f>Deudas_Varios!E11</f>
        <v>0</v>
      </c>
      <c r="F7" s="33">
        <f>Deudas_Varios!F11</f>
        <v>-260000</v>
      </c>
      <c r="G7" s="33">
        <f>Deudas_Varios!G11</f>
        <v>0</v>
      </c>
      <c r="H7" s="33">
        <f>Deudas_Varios!H11</f>
        <v>0</v>
      </c>
      <c r="I7" s="33">
        <f>Deudas_Varios!I11</f>
        <v>0</v>
      </c>
      <c r="J7" s="33">
        <f>Deudas_Varios!J11</f>
        <v>0</v>
      </c>
      <c r="K7" s="33">
        <f>Deudas_Varios!K11</f>
        <v>365000</v>
      </c>
      <c r="L7" s="33">
        <f>Deudas_Varios!L11</f>
        <v>0</v>
      </c>
      <c r="M7" s="33">
        <f>Deudas_Varios!M11</f>
        <v>-492399</v>
      </c>
      <c r="N7" s="33">
        <f>Deudas_Varios!N11</f>
        <v>-684195</v>
      </c>
      <c r="O7" s="33">
        <f>Deudas_Varios!O11</f>
        <v>0</v>
      </c>
      <c r="P7" s="33">
        <f>Deudas_Varios!P11</f>
        <v>0</v>
      </c>
      <c r="Q7" s="33">
        <f>Deudas_Varios!Q11</f>
        <v>-611518</v>
      </c>
      <c r="R7" s="33">
        <f>Deudas_Varios!R11</f>
        <v>-70000</v>
      </c>
      <c r="S7" s="33">
        <f>Deudas_Varios!S11</f>
        <v>-70000</v>
      </c>
      <c r="T7" s="33">
        <f>Deudas_Varios!T11</f>
        <v>-70000</v>
      </c>
      <c r="U7" s="33">
        <f>Deudas_Varios!U11</f>
        <v>-70000</v>
      </c>
      <c r="V7" s="33">
        <f>Deudas_Varios!V11</f>
        <v>-70000</v>
      </c>
      <c r="W7" s="33">
        <f>Deudas_Varios!W11</f>
        <v>0</v>
      </c>
      <c r="X7" s="33">
        <f>Deudas_Varios!X11</f>
        <v>0</v>
      </c>
      <c r="Y7" s="33">
        <f>Deudas_Varios!Y11</f>
        <v>0</v>
      </c>
      <c r="Z7" s="33">
        <f>Deudas_Varios!Z11</f>
        <v>-350000</v>
      </c>
      <c r="AA7" s="33">
        <f>Deudas_Varios!AA11</f>
        <v>0</v>
      </c>
      <c r="AB7" s="33">
        <f>Deudas_Varios!AB11</f>
        <v>0</v>
      </c>
      <c r="AC7" s="33">
        <f>Deudas_Varios!AC11</f>
        <v>0</v>
      </c>
      <c r="AD7" s="33">
        <f>Deudas_Varios!AD11</f>
        <v>0</v>
      </c>
      <c r="AE7" s="33">
        <f>Deudas_Varios!AE11</f>
        <v>0</v>
      </c>
      <c r="AF7" s="33">
        <f>Deudas_Varios!AF11</f>
        <v>0</v>
      </c>
      <c r="AG7" s="33">
        <f>Deudas_Varios!AG11</f>
        <v>0</v>
      </c>
      <c r="AH7" s="33">
        <f>Deudas_Varios!AH11</f>
        <v>0</v>
      </c>
      <c r="AI7" s="33">
        <f>Deudas_Varios!AI11</f>
        <v>0</v>
      </c>
      <c r="AJ7" s="33">
        <f>Deudas_Varios!AJ11</f>
        <v>0</v>
      </c>
      <c r="AK7" s="33">
        <f>Deudas_Varios!AK11</f>
        <v>0</v>
      </c>
      <c r="AL7" s="33">
        <f>Deudas_Varios!AL11</f>
        <v>0</v>
      </c>
      <c r="AM7" s="33">
        <f>Deudas_Varios!AM11</f>
        <v>0</v>
      </c>
      <c r="AN7" s="33">
        <f>Deudas_Varios!AN11</f>
        <v>0</v>
      </c>
      <c r="AO7" s="33">
        <f>Deudas_Varios!AO11</f>
        <v>0</v>
      </c>
      <c r="AP7" s="33">
        <f>Deudas_Varios!AP11</f>
        <v>0</v>
      </c>
      <c r="AQ7" s="33">
        <f>Deudas_Varios!AQ11</f>
        <v>0</v>
      </c>
      <c r="AR7" s="33">
        <f>Deudas_Varios!AR11</f>
        <v>0</v>
      </c>
      <c r="AS7" s="33">
        <f>Deudas_Varios!AS11</f>
        <v>0</v>
      </c>
    </row>
    <row r="8" spans="1:45">
      <c r="A8" s="34" t="s">
        <v>53</v>
      </c>
      <c r="B8" s="35">
        <f t="shared" ref="B8:AS8" si="0">SUM(B4:B7)</f>
        <v>-2307584.0099999998</v>
      </c>
      <c r="C8" s="35">
        <f t="shared" si="0"/>
        <v>-1341061.69</v>
      </c>
      <c r="D8" s="35">
        <f t="shared" si="0"/>
        <v>-2287461.69</v>
      </c>
      <c r="E8" s="35">
        <f t="shared" si="0"/>
        <v>-2713870</v>
      </c>
      <c r="F8" s="35">
        <f t="shared" si="0"/>
        <v>-3040870</v>
      </c>
      <c r="G8" s="35">
        <f t="shared" si="0"/>
        <v>-3418070</v>
      </c>
      <c r="H8" s="35">
        <f t="shared" si="0"/>
        <v>-7570077</v>
      </c>
      <c r="I8" s="35">
        <f t="shared" si="0"/>
        <v>-2752060</v>
      </c>
      <c r="J8" s="35">
        <f t="shared" si="0"/>
        <v>-3556160</v>
      </c>
      <c r="K8" s="35">
        <f t="shared" si="0"/>
        <v>-3099360</v>
      </c>
      <c r="L8" s="35">
        <f t="shared" si="0"/>
        <v>-1968000</v>
      </c>
      <c r="M8" s="35">
        <f t="shared" si="0"/>
        <v>-2391999</v>
      </c>
      <c r="N8" s="35">
        <f t="shared" si="0"/>
        <v>-2749999</v>
      </c>
      <c r="O8" s="35">
        <f t="shared" si="0"/>
        <v>-1422601.26</v>
      </c>
      <c r="P8" s="35">
        <f t="shared" si="0"/>
        <v>-1702601.26</v>
      </c>
      <c r="Q8" s="35">
        <f t="shared" si="0"/>
        <v>-2519999.2599999998</v>
      </c>
      <c r="R8" s="35">
        <f t="shared" si="0"/>
        <v>-2576181.2599999998</v>
      </c>
      <c r="S8" s="35">
        <f t="shared" si="0"/>
        <v>-2029660.26</v>
      </c>
      <c r="T8" s="35">
        <f t="shared" si="0"/>
        <v>-1851660.26</v>
      </c>
      <c r="U8" s="35">
        <f t="shared" si="0"/>
        <v>-1542660.26</v>
      </c>
      <c r="V8" s="35">
        <f t="shared" si="0"/>
        <v>-1547660.26</v>
      </c>
      <c r="W8" s="35">
        <f t="shared" si="0"/>
        <v>-1278660.26</v>
      </c>
      <c r="X8" s="35">
        <f t="shared" si="0"/>
        <v>-1110660.26</v>
      </c>
      <c r="Y8" s="35">
        <f t="shared" si="0"/>
        <v>-741000</v>
      </c>
      <c r="Z8" s="35">
        <f t="shared" si="0"/>
        <v>-1091000</v>
      </c>
      <c r="AA8" s="35">
        <f t="shared" si="0"/>
        <v>-772000</v>
      </c>
      <c r="AB8" s="35">
        <f t="shared" si="0"/>
        <v>-772000</v>
      </c>
      <c r="AC8" s="35">
        <f t="shared" si="0"/>
        <v>-773000</v>
      </c>
      <c r="AD8" s="35">
        <f t="shared" si="0"/>
        <v>-139000</v>
      </c>
      <c r="AE8" s="35">
        <f t="shared" si="0"/>
        <v>-139000</v>
      </c>
      <c r="AF8" s="35">
        <f t="shared" si="0"/>
        <v>-139000</v>
      </c>
      <c r="AG8" s="35">
        <f t="shared" si="0"/>
        <v>-139000</v>
      </c>
      <c r="AH8" s="35">
        <f t="shared" si="0"/>
        <v>-139000</v>
      </c>
      <c r="AI8" s="35">
        <f t="shared" si="0"/>
        <v>-139000</v>
      </c>
      <c r="AJ8" s="35">
        <f t="shared" si="0"/>
        <v>0</v>
      </c>
      <c r="AK8" s="35">
        <f t="shared" si="0"/>
        <v>0</v>
      </c>
      <c r="AL8" s="35">
        <f t="shared" si="0"/>
        <v>0</v>
      </c>
      <c r="AM8" s="35">
        <f t="shared" si="0"/>
        <v>0</v>
      </c>
      <c r="AN8" s="35">
        <f t="shared" si="0"/>
        <v>0</v>
      </c>
      <c r="AO8" s="35">
        <f t="shared" si="0"/>
        <v>0</v>
      </c>
      <c r="AP8" s="35">
        <f t="shared" si="0"/>
        <v>0</v>
      </c>
      <c r="AQ8" s="35">
        <f t="shared" si="0"/>
        <v>0</v>
      </c>
      <c r="AR8" s="35">
        <f t="shared" si="0"/>
        <v>0</v>
      </c>
      <c r="AS8" s="35">
        <f t="shared" si="0"/>
        <v>0</v>
      </c>
    </row>
    <row r="9" spans="1:45" ht="19.5" customHeight="1">
      <c r="A9" s="56" t="s">
        <v>54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</row>
    <row r="10" spans="1:45" ht="18" customHeight="1">
      <c r="A10" s="36" t="s">
        <v>55</v>
      </c>
      <c r="B10" s="29">
        <v>1100000</v>
      </c>
      <c r="C10" s="29">
        <v>1100000</v>
      </c>
      <c r="D10" s="29">
        <v>1100000</v>
      </c>
      <c r="E10" s="29">
        <v>1200000</v>
      </c>
      <c r="F10" s="29">
        <v>1200000</v>
      </c>
      <c r="G10" s="29">
        <v>1200000</v>
      </c>
      <c r="H10" s="29">
        <v>1160000</v>
      </c>
      <c r="I10" s="29">
        <v>1170000</v>
      </c>
      <c r="J10" s="29">
        <v>1250000</v>
      </c>
      <c r="K10" s="29">
        <v>1200000</v>
      </c>
      <c r="L10" s="29">
        <v>1250000</v>
      </c>
      <c r="M10" s="29">
        <v>1432000</v>
      </c>
      <c r="N10" s="29">
        <v>1350000</v>
      </c>
      <c r="O10" s="29">
        <v>1450000</v>
      </c>
      <c r="P10" s="29">
        <v>1400000</v>
      </c>
      <c r="Q10" s="29">
        <v>1620000</v>
      </c>
      <c r="R10" s="29">
        <v>2239000</v>
      </c>
      <c r="S10" s="29">
        <v>1540000</v>
      </c>
      <c r="T10" s="29">
        <v>1487000</v>
      </c>
      <c r="U10" s="29">
        <v>1546000</v>
      </c>
      <c r="V10" s="29">
        <v>1546000</v>
      </c>
      <c r="W10" s="29">
        <v>1607000</v>
      </c>
      <c r="X10" s="29">
        <v>2457000</v>
      </c>
      <c r="Y10" s="29">
        <v>1650000</v>
      </c>
      <c r="Z10" s="29">
        <v>1650000</v>
      </c>
      <c r="AA10" s="29">
        <v>1670000</v>
      </c>
      <c r="AB10" s="29">
        <v>1670000</v>
      </c>
      <c r="AC10" s="29">
        <v>1690000</v>
      </c>
      <c r="AD10" s="29"/>
      <c r="AE10" s="29">
        <v>0</v>
      </c>
      <c r="AF10" s="29">
        <v>0</v>
      </c>
      <c r="AG10" s="29">
        <v>0</v>
      </c>
      <c r="AH10" s="29">
        <v>0</v>
      </c>
      <c r="AI10" s="29">
        <v>0</v>
      </c>
      <c r="AJ10" s="29">
        <v>0</v>
      </c>
      <c r="AK10" s="29">
        <v>0</v>
      </c>
      <c r="AL10" s="29">
        <v>0</v>
      </c>
      <c r="AM10" s="29">
        <v>0</v>
      </c>
      <c r="AN10" s="29">
        <v>0</v>
      </c>
      <c r="AO10" s="29">
        <v>0</v>
      </c>
      <c r="AP10" s="29">
        <v>0</v>
      </c>
      <c r="AQ10" s="29">
        <v>0</v>
      </c>
      <c r="AR10" s="29">
        <v>0</v>
      </c>
      <c r="AS10" s="29">
        <v>0</v>
      </c>
    </row>
    <row r="11" spans="1:45" ht="18" customHeight="1">
      <c r="A11" s="36" t="s">
        <v>56</v>
      </c>
      <c r="B11" s="29">
        <v>0</v>
      </c>
      <c r="C11" s="29">
        <v>0</v>
      </c>
      <c r="D11" s="29">
        <v>0</v>
      </c>
      <c r="E11" s="29">
        <v>30000</v>
      </c>
      <c r="F11" s="29">
        <v>30000</v>
      </c>
      <c r="G11" s="29">
        <v>0</v>
      </c>
      <c r="H11" s="29">
        <v>50000</v>
      </c>
      <c r="I11" s="29">
        <v>100000</v>
      </c>
      <c r="J11" s="29">
        <v>0</v>
      </c>
      <c r="K11" s="29">
        <v>0</v>
      </c>
      <c r="L11" s="29">
        <v>320000</v>
      </c>
      <c r="M11" s="29">
        <v>960000</v>
      </c>
      <c r="N11" s="29">
        <v>1400000</v>
      </c>
      <c r="O11" s="29">
        <v>0</v>
      </c>
      <c r="P11" s="29">
        <v>0</v>
      </c>
      <c r="Q11" s="29">
        <v>900000</v>
      </c>
      <c r="R11" s="29">
        <v>1045000</v>
      </c>
      <c r="S11" s="29">
        <v>900000</v>
      </c>
      <c r="T11" s="29">
        <v>900000</v>
      </c>
      <c r="U11" s="29">
        <v>900000</v>
      </c>
      <c r="V11" s="29">
        <v>900000</v>
      </c>
      <c r="W11" s="29">
        <v>900000</v>
      </c>
      <c r="X11" s="29">
        <v>900000</v>
      </c>
      <c r="Y11" s="29">
        <v>900000</v>
      </c>
      <c r="Z11" s="29">
        <v>900000</v>
      </c>
      <c r="AA11" s="29">
        <v>900000</v>
      </c>
      <c r="AB11" s="29">
        <v>900000</v>
      </c>
      <c r="AC11" s="29">
        <v>900000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</row>
    <row r="12" spans="1:45" ht="18" customHeight="1">
      <c r="A12" s="36" t="s">
        <v>57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  <c r="H12" s="29">
        <v>6000000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</row>
    <row r="13" spans="1:45" ht="18" customHeight="1">
      <c r="A13" s="36" t="s">
        <v>58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</row>
    <row r="14" spans="1:45" ht="18" customHeight="1">
      <c r="A14" s="36" t="s">
        <v>59</v>
      </c>
      <c r="B14" s="29">
        <v>0</v>
      </c>
      <c r="C14" s="29">
        <v>0</v>
      </c>
      <c r="D14" s="29">
        <v>0</v>
      </c>
      <c r="E14" s="29">
        <v>0</v>
      </c>
      <c r="F14" s="29">
        <v>30000</v>
      </c>
      <c r="G14" s="29">
        <v>15000</v>
      </c>
      <c r="H14" s="29">
        <v>15000</v>
      </c>
      <c r="I14" s="29">
        <v>15000</v>
      </c>
      <c r="J14" s="29">
        <v>15000</v>
      </c>
      <c r="K14" s="29">
        <v>15000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</row>
    <row r="15" spans="1:45">
      <c r="A15" s="37" t="s">
        <v>60</v>
      </c>
      <c r="B15" s="38">
        <f t="shared" ref="B15:AS15" si="1">SUM(B10:B14)</f>
        <v>1100000</v>
      </c>
      <c r="C15" s="38">
        <f t="shared" si="1"/>
        <v>1100000</v>
      </c>
      <c r="D15" s="38">
        <f t="shared" si="1"/>
        <v>1100000</v>
      </c>
      <c r="E15" s="38">
        <f t="shared" si="1"/>
        <v>1230000</v>
      </c>
      <c r="F15" s="38">
        <f t="shared" si="1"/>
        <v>1260000</v>
      </c>
      <c r="G15" s="38">
        <f t="shared" si="1"/>
        <v>1215000</v>
      </c>
      <c r="H15" s="38">
        <f t="shared" si="1"/>
        <v>7225000</v>
      </c>
      <c r="I15" s="38">
        <f t="shared" si="1"/>
        <v>1285000</v>
      </c>
      <c r="J15" s="38">
        <f t="shared" si="1"/>
        <v>1265000</v>
      </c>
      <c r="K15" s="38">
        <f t="shared" si="1"/>
        <v>1215000</v>
      </c>
      <c r="L15" s="38">
        <f t="shared" si="1"/>
        <v>1570000</v>
      </c>
      <c r="M15" s="38">
        <f t="shared" si="1"/>
        <v>2392000</v>
      </c>
      <c r="N15" s="38">
        <f t="shared" si="1"/>
        <v>2750000</v>
      </c>
      <c r="O15" s="38">
        <f t="shared" si="1"/>
        <v>1450000</v>
      </c>
      <c r="P15" s="38">
        <f t="shared" si="1"/>
        <v>1400000</v>
      </c>
      <c r="Q15" s="38">
        <f t="shared" si="1"/>
        <v>2520000</v>
      </c>
      <c r="R15" s="38">
        <f t="shared" si="1"/>
        <v>3284000</v>
      </c>
      <c r="S15" s="38">
        <f t="shared" si="1"/>
        <v>2440000</v>
      </c>
      <c r="T15" s="38">
        <f t="shared" si="1"/>
        <v>2387000</v>
      </c>
      <c r="U15" s="38">
        <f t="shared" si="1"/>
        <v>2446000</v>
      </c>
      <c r="V15" s="38">
        <f t="shared" si="1"/>
        <v>2446000</v>
      </c>
      <c r="W15" s="38">
        <f t="shared" si="1"/>
        <v>2507000</v>
      </c>
      <c r="X15" s="38">
        <f t="shared" si="1"/>
        <v>3357000</v>
      </c>
      <c r="Y15" s="38">
        <f t="shared" si="1"/>
        <v>2550000</v>
      </c>
      <c r="Z15" s="38">
        <f t="shared" si="1"/>
        <v>2550000</v>
      </c>
      <c r="AA15" s="38">
        <f t="shared" si="1"/>
        <v>2570000</v>
      </c>
      <c r="AB15" s="38">
        <f t="shared" si="1"/>
        <v>2570000</v>
      </c>
      <c r="AC15" s="38">
        <f t="shared" si="1"/>
        <v>2590000</v>
      </c>
      <c r="AD15" s="38">
        <f t="shared" si="1"/>
        <v>0</v>
      </c>
      <c r="AE15" s="38">
        <f t="shared" si="1"/>
        <v>0</v>
      </c>
      <c r="AF15" s="38">
        <f t="shared" si="1"/>
        <v>0</v>
      </c>
      <c r="AG15" s="38">
        <f t="shared" si="1"/>
        <v>0</v>
      </c>
      <c r="AH15" s="38">
        <f t="shared" si="1"/>
        <v>0</v>
      </c>
      <c r="AI15" s="38">
        <f t="shared" si="1"/>
        <v>0</v>
      </c>
      <c r="AJ15" s="38">
        <f t="shared" si="1"/>
        <v>0</v>
      </c>
      <c r="AK15" s="38">
        <f t="shared" si="1"/>
        <v>0</v>
      </c>
      <c r="AL15" s="38">
        <f t="shared" si="1"/>
        <v>0</v>
      </c>
      <c r="AM15" s="38">
        <f t="shared" si="1"/>
        <v>0</v>
      </c>
      <c r="AN15" s="38">
        <f t="shared" si="1"/>
        <v>0</v>
      </c>
      <c r="AO15" s="38">
        <f t="shared" si="1"/>
        <v>0</v>
      </c>
      <c r="AP15" s="38">
        <f t="shared" si="1"/>
        <v>0</v>
      </c>
      <c r="AQ15" s="38">
        <f t="shared" si="1"/>
        <v>0</v>
      </c>
      <c r="AR15" s="38">
        <f t="shared" si="1"/>
        <v>0</v>
      </c>
      <c r="AS15" s="38">
        <f t="shared" si="1"/>
        <v>0</v>
      </c>
    </row>
    <row r="16" spans="1:45" ht="21.75" customHeight="1">
      <c r="A16" s="39" t="s">
        <v>61</v>
      </c>
      <c r="B16" s="40">
        <f t="shared" ref="B16:AS16" si="2">B15+B8</f>
        <v>-1207584.0099999998</v>
      </c>
      <c r="C16" s="40">
        <f t="shared" si="2"/>
        <v>-241061.68999999994</v>
      </c>
      <c r="D16" s="40">
        <f t="shared" si="2"/>
        <v>-1187461.69</v>
      </c>
      <c r="E16" s="40">
        <f t="shared" si="2"/>
        <v>-1483870</v>
      </c>
      <c r="F16" s="40">
        <f t="shared" si="2"/>
        <v>-1780870</v>
      </c>
      <c r="G16" s="40">
        <f t="shared" si="2"/>
        <v>-2203070</v>
      </c>
      <c r="H16" s="40">
        <f t="shared" si="2"/>
        <v>-345077</v>
      </c>
      <c r="I16" s="40">
        <f t="shared" si="2"/>
        <v>-1467060</v>
      </c>
      <c r="J16" s="40">
        <f t="shared" si="2"/>
        <v>-2291160</v>
      </c>
      <c r="K16" s="40">
        <f t="shared" si="2"/>
        <v>-1884360</v>
      </c>
      <c r="L16" s="40">
        <f t="shared" si="2"/>
        <v>-398000</v>
      </c>
      <c r="M16" s="41">
        <f t="shared" si="2"/>
        <v>1</v>
      </c>
      <c r="N16" s="41">
        <f t="shared" si="2"/>
        <v>1</v>
      </c>
      <c r="O16" s="40">
        <f t="shared" si="2"/>
        <v>27398.739999999991</v>
      </c>
      <c r="P16" s="40">
        <f t="shared" si="2"/>
        <v>-302601.26</v>
      </c>
      <c r="Q16" s="41">
        <f>Q15+Q8</f>
        <v>0.74000000022351742</v>
      </c>
      <c r="R16" s="41">
        <f t="shared" si="2"/>
        <v>707818.74000000022</v>
      </c>
      <c r="S16" s="41">
        <f t="shared" si="2"/>
        <v>410339.74</v>
      </c>
      <c r="T16" s="41">
        <f t="shared" si="2"/>
        <v>535339.74</v>
      </c>
      <c r="U16" s="41">
        <f t="shared" si="2"/>
        <v>903339.74</v>
      </c>
      <c r="V16" s="41">
        <f t="shared" si="2"/>
        <v>898339.74</v>
      </c>
      <c r="W16" s="41">
        <f t="shared" si="2"/>
        <v>1228339.74</v>
      </c>
      <c r="X16" s="41">
        <f>X15+X8</f>
        <v>2246339.7400000002</v>
      </c>
      <c r="Y16" s="40">
        <f>Y15+Y8</f>
        <v>1809000</v>
      </c>
      <c r="Z16" s="40">
        <f t="shared" si="2"/>
        <v>1459000</v>
      </c>
      <c r="AA16" s="40">
        <f t="shared" si="2"/>
        <v>1798000</v>
      </c>
      <c r="AB16" s="40">
        <f t="shared" si="2"/>
        <v>1798000</v>
      </c>
      <c r="AC16" s="40">
        <f t="shared" si="2"/>
        <v>1817000</v>
      </c>
      <c r="AD16" s="40">
        <f t="shared" si="2"/>
        <v>-139000</v>
      </c>
      <c r="AE16" s="40">
        <f t="shared" si="2"/>
        <v>-139000</v>
      </c>
      <c r="AF16" s="40">
        <f t="shared" si="2"/>
        <v>-139000</v>
      </c>
      <c r="AG16" s="40">
        <f t="shared" si="2"/>
        <v>-139000</v>
      </c>
      <c r="AH16" s="40">
        <f t="shared" si="2"/>
        <v>-139000</v>
      </c>
      <c r="AI16" s="40">
        <f t="shared" si="2"/>
        <v>-139000</v>
      </c>
      <c r="AJ16" s="41">
        <f t="shared" si="2"/>
        <v>0</v>
      </c>
      <c r="AK16" s="41">
        <f t="shared" si="2"/>
        <v>0</v>
      </c>
      <c r="AL16" s="41">
        <f t="shared" si="2"/>
        <v>0</v>
      </c>
      <c r="AM16" s="41">
        <f t="shared" si="2"/>
        <v>0</v>
      </c>
      <c r="AN16" s="41">
        <f t="shared" si="2"/>
        <v>0</v>
      </c>
      <c r="AO16" s="41">
        <f t="shared" si="2"/>
        <v>0</v>
      </c>
      <c r="AP16" s="41">
        <f t="shared" si="2"/>
        <v>0</v>
      </c>
      <c r="AQ16" s="41">
        <f t="shared" si="2"/>
        <v>0</v>
      </c>
      <c r="AR16" s="41">
        <f t="shared" si="2"/>
        <v>0</v>
      </c>
      <c r="AS16" s="41">
        <f t="shared" si="2"/>
        <v>0</v>
      </c>
    </row>
    <row r="18" spans="18:29"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</sheetData>
  <mergeCells count="2">
    <mergeCell ref="A3:AS3"/>
    <mergeCell ref="A9:AS9"/>
  </mergeCells>
  <conditionalFormatting sqref="B16:AS16">
    <cfRule type="cellIs" dxfId="3" priority="4" operator="greaterThanOrEqual">
      <formula>1</formula>
    </cfRule>
  </conditionalFormatting>
  <conditionalFormatting sqref="B16:AS16">
    <cfRule type="cellIs" dxfId="2" priority="3" operator="lessThanOrEqual">
      <formula>0</formula>
    </cfRule>
  </conditionalFormatting>
  <conditionalFormatting sqref="B8:AS8">
    <cfRule type="notContainsBlanks" dxfId="1" priority="2">
      <formula>LEN(TRIM(B8))&gt;0</formula>
    </cfRule>
  </conditionalFormatting>
  <conditionalFormatting sqref="B15:AS15">
    <cfRule type="cellIs" dxfId="0" priority="1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zoomScaleNormal="100" workbookViewId="0">
      <pane xSplit="1" ySplit="2" topLeftCell="L3" activePane="bottomRight" state="frozen"/>
      <selection pane="bottomRight" activeCell="S1" sqref="S1:S1048576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2" t="s">
        <v>63</v>
      </c>
      <c r="B4" s="27">
        <v>-1081714.01</v>
      </c>
      <c r="C4" s="27">
        <v>-751591.69</v>
      </c>
      <c r="D4" s="27">
        <v>-751591.69</v>
      </c>
      <c r="E4" s="27">
        <v>-1360000</v>
      </c>
      <c r="F4" s="27">
        <v>-1083000</v>
      </c>
      <c r="G4" s="27">
        <v>-1450000</v>
      </c>
      <c r="H4" s="27">
        <v>-1695000</v>
      </c>
      <c r="I4" s="27">
        <v>-1300000</v>
      </c>
      <c r="J4" s="27">
        <v>-1733000</v>
      </c>
      <c r="K4" s="27">
        <v>-1450000</v>
      </c>
      <c r="L4" s="27">
        <v>-400000</v>
      </c>
      <c r="M4" s="27">
        <v>-400000</v>
      </c>
      <c r="N4" s="27">
        <v>-400000</v>
      </c>
      <c r="O4" s="27">
        <v>-155000</v>
      </c>
      <c r="P4" s="27">
        <v>-370000</v>
      </c>
      <c r="Q4" s="27">
        <v>-528000</v>
      </c>
      <c r="R4" s="27">
        <v>-700000</v>
      </c>
      <c r="S4" s="27">
        <v>-650000</v>
      </c>
      <c r="T4" s="27">
        <v>-300000</v>
      </c>
      <c r="U4" s="27">
        <v>-200000</v>
      </c>
      <c r="V4" s="27">
        <v>-200000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</row>
    <row r="5" spans="1:45" ht="18" customHeight="1">
      <c r="A5" s="42" t="s">
        <v>64</v>
      </c>
      <c r="B5" s="27">
        <v>-149000</v>
      </c>
      <c r="C5" s="27">
        <v>-149000</v>
      </c>
      <c r="D5" s="27">
        <v>-149000</v>
      </c>
      <c r="E5" s="27">
        <v>-149000</v>
      </c>
      <c r="F5" s="27">
        <v>-128000</v>
      </c>
      <c r="G5" s="27">
        <v>-474000</v>
      </c>
      <c r="H5" s="27">
        <v>-502000</v>
      </c>
      <c r="I5" s="27">
        <v>0</v>
      </c>
      <c r="J5" s="27">
        <v>-161000</v>
      </c>
      <c r="K5" s="27">
        <v>-161000</v>
      </c>
      <c r="L5" s="27">
        <v>-161000</v>
      </c>
      <c r="M5" s="27">
        <v>-161000</v>
      </c>
      <c r="N5" s="27">
        <v>-161000</v>
      </c>
      <c r="O5" s="27">
        <v>-161000</v>
      </c>
      <c r="P5" s="27">
        <v>-161000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</row>
    <row r="6" spans="1:45" ht="18" customHeight="1">
      <c r="A6" s="42" t="s">
        <v>65</v>
      </c>
      <c r="B6" s="27">
        <v>-202870</v>
      </c>
      <c r="C6" s="27">
        <v>-202870</v>
      </c>
      <c r="D6" s="27">
        <v>-202870</v>
      </c>
      <c r="E6" s="27">
        <v>-202870</v>
      </c>
      <c r="F6" s="27">
        <v>-202870</v>
      </c>
      <c r="G6" s="27">
        <v>-202870</v>
      </c>
      <c r="H6" s="27">
        <v>-3862277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</row>
    <row r="7" spans="1:45" ht="18" customHeight="1">
      <c r="A7" s="42" t="s">
        <v>66</v>
      </c>
      <c r="B7" s="27">
        <v>0</v>
      </c>
      <c r="C7" s="27">
        <v>-83000</v>
      </c>
      <c r="D7" s="27">
        <v>-83000</v>
      </c>
      <c r="E7" s="27">
        <v>-83000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</row>
    <row r="8" spans="1:45" ht="18" customHeight="1">
      <c r="A8" s="42" t="s">
        <v>67</v>
      </c>
      <c r="B8" s="27">
        <v>-840000</v>
      </c>
      <c r="C8" s="27">
        <v>-120600</v>
      </c>
      <c r="D8" s="27">
        <v>-1067000</v>
      </c>
      <c r="E8" s="27">
        <v>-895000</v>
      </c>
      <c r="F8" s="27">
        <v>-740000</v>
      </c>
      <c r="G8" s="27">
        <v>-680000</v>
      </c>
      <c r="H8" s="27">
        <v>-700000</v>
      </c>
      <c r="I8" s="27">
        <v>-560000</v>
      </c>
      <c r="J8" s="27">
        <v>-850000</v>
      </c>
      <c r="K8" s="27">
        <v>-1000000</v>
      </c>
      <c r="L8" s="27">
        <v>-600000</v>
      </c>
      <c r="M8" s="27">
        <v>-127000</v>
      </c>
      <c r="N8" s="27">
        <v>-193000</v>
      </c>
      <c r="O8" s="27">
        <v>-139000</v>
      </c>
      <c r="P8" s="27">
        <v>-139000</v>
      </c>
      <c r="Q8" s="27">
        <v>-139000</v>
      </c>
      <c r="R8" s="27">
        <v>-139000</v>
      </c>
      <c r="S8" s="27">
        <v>-139000</v>
      </c>
      <c r="T8" s="27">
        <v>-139000</v>
      </c>
      <c r="U8" s="27">
        <v>-139000</v>
      </c>
      <c r="V8" s="27">
        <v>-139000</v>
      </c>
      <c r="W8" s="27">
        <v>-139000</v>
      </c>
      <c r="X8" s="27">
        <v>-139000</v>
      </c>
      <c r="Y8" s="27">
        <v>-139000</v>
      </c>
      <c r="Z8" s="27">
        <v>-139000</v>
      </c>
      <c r="AA8" s="27">
        <v>-139000</v>
      </c>
      <c r="AB8" s="27">
        <v>-139000</v>
      </c>
      <c r="AC8" s="27">
        <v>-139000</v>
      </c>
      <c r="AD8" s="27">
        <v>-139000</v>
      </c>
      <c r="AE8" s="27">
        <v>-139000</v>
      </c>
      <c r="AF8" s="27">
        <v>-139000</v>
      </c>
      <c r="AG8" s="27">
        <v>-139000</v>
      </c>
      <c r="AH8" s="27">
        <v>-139000</v>
      </c>
      <c r="AI8" s="27">
        <v>-139000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</row>
    <row r="9" spans="1:45" ht="18" customHeight="1">
      <c r="A9" s="42" t="s">
        <v>68</v>
      </c>
      <c r="B9" s="27">
        <v>-34000</v>
      </c>
      <c r="C9" s="27">
        <v>-34000</v>
      </c>
      <c r="D9" s="27">
        <v>-34000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</row>
    <row r="10" spans="1:45" ht="18" customHeight="1">
      <c r="A10" s="42" t="s">
        <v>69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-250000</v>
      </c>
      <c r="N10" s="27">
        <v>-170000</v>
      </c>
      <c r="O10" s="27">
        <v>-70000</v>
      </c>
      <c r="P10" s="27">
        <v>-137000</v>
      </c>
      <c r="Q10" s="27">
        <v>-160000</v>
      </c>
      <c r="R10" s="27">
        <v>-375000</v>
      </c>
      <c r="S10" s="27">
        <v>-50000</v>
      </c>
      <c r="T10" s="27">
        <v>-100000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</row>
    <row r="11" spans="1:45" ht="18" customHeight="1">
      <c r="A11" s="42" t="s">
        <v>70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-200000</v>
      </c>
      <c r="O11" s="27">
        <v>-50000</v>
      </c>
      <c r="P11" s="27">
        <v>-37000</v>
      </c>
      <c r="Q11" s="27">
        <v>0</v>
      </c>
      <c r="R11" s="27" t="s">
        <v>71</v>
      </c>
      <c r="S11" s="27" t="s">
        <v>71</v>
      </c>
      <c r="T11" s="27">
        <v>-140000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0</v>
      </c>
      <c r="AS11" s="27">
        <v>0</v>
      </c>
    </row>
    <row r="12" spans="1:45" ht="18" customHeight="1">
      <c r="A12" s="42" t="s">
        <v>72</v>
      </c>
      <c r="B12" s="27">
        <v>0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-70000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</row>
    <row r="13" spans="1:45">
      <c r="A13" s="43" t="s">
        <v>73</v>
      </c>
      <c r="B13" s="44">
        <f t="shared" ref="B13:AS13" si="0">SUM(B4:B12)</f>
        <v>-2307584.0099999998</v>
      </c>
      <c r="C13" s="44">
        <f t="shared" si="0"/>
        <v>-1341061.69</v>
      </c>
      <c r="D13" s="44">
        <f t="shared" si="0"/>
        <v>-2287461.69</v>
      </c>
      <c r="E13" s="44">
        <f t="shared" si="0"/>
        <v>-2689870</v>
      </c>
      <c r="F13" s="44">
        <f t="shared" si="0"/>
        <v>-2153870</v>
      </c>
      <c r="G13" s="44">
        <f t="shared" si="0"/>
        <v>-2806870</v>
      </c>
      <c r="H13" s="44">
        <f t="shared" si="0"/>
        <v>-6759277</v>
      </c>
      <c r="I13" s="44">
        <f t="shared" si="0"/>
        <v>-1860000</v>
      </c>
      <c r="J13" s="44">
        <f t="shared" si="0"/>
        <v>-2744000</v>
      </c>
      <c r="K13" s="44">
        <f t="shared" si="0"/>
        <v>-2611000</v>
      </c>
      <c r="L13" s="44">
        <f t="shared" si="0"/>
        <v>-1161000</v>
      </c>
      <c r="M13" s="44">
        <f t="shared" si="0"/>
        <v>-938000</v>
      </c>
      <c r="N13" s="44">
        <f t="shared" si="0"/>
        <v>-1124000</v>
      </c>
      <c r="O13" s="44">
        <f t="shared" si="0"/>
        <v>-575000</v>
      </c>
      <c r="P13" s="44">
        <f t="shared" si="0"/>
        <v>-844000</v>
      </c>
      <c r="Q13" s="44">
        <f t="shared" si="0"/>
        <v>-897000</v>
      </c>
      <c r="R13" s="44">
        <f t="shared" si="0"/>
        <v>-1214000</v>
      </c>
      <c r="S13" s="44">
        <f t="shared" si="0"/>
        <v>-839000</v>
      </c>
      <c r="T13" s="44">
        <f t="shared" si="0"/>
        <v>-679000</v>
      </c>
      <c r="U13" s="44">
        <f t="shared" si="0"/>
        <v>-339000</v>
      </c>
      <c r="V13" s="44">
        <f t="shared" si="0"/>
        <v>-339000</v>
      </c>
      <c r="W13" s="44">
        <f t="shared" si="0"/>
        <v>-139000</v>
      </c>
      <c r="X13" s="44">
        <f t="shared" si="0"/>
        <v>-139000</v>
      </c>
      <c r="Y13" s="44">
        <f t="shared" si="0"/>
        <v>-139000</v>
      </c>
      <c r="Z13" s="44">
        <f t="shared" si="0"/>
        <v>-139000</v>
      </c>
      <c r="AA13" s="44">
        <f t="shared" si="0"/>
        <v>-139000</v>
      </c>
      <c r="AB13" s="44">
        <f t="shared" si="0"/>
        <v>-139000</v>
      </c>
      <c r="AC13" s="44">
        <f t="shared" si="0"/>
        <v>-139000</v>
      </c>
      <c r="AD13" s="44">
        <f t="shared" si="0"/>
        <v>-139000</v>
      </c>
      <c r="AE13" s="44">
        <f t="shared" si="0"/>
        <v>-139000</v>
      </c>
      <c r="AF13" s="44">
        <f t="shared" si="0"/>
        <v>-139000</v>
      </c>
      <c r="AG13" s="44">
        <f t="shared" si="0"/>
        <v>-139000</v>
      </c>
      <c r="AH13" s="44">
        <f t="shared" si="0"/>
        <v>-139000</v>
      </c>
      <c r="AI13" s="44">
        <f t="shared" si="0"/>
        <v>-139000</v>
      </c>
      <c r="AJ13" s="44">
        <f t="shared" si="0"/>
        <v>0</v>
      </c>
      <c r="AK13" s="44">
        <f t="shared" si="0"/>
        <v>0</v>
      </c>
      <c r="AL13" s="44">
        <f t="shared" si="0"/>
        <v>0</v>
      </c>
      <c r="AM13" s="44">
        <f t="shared" si="0"/>
        <v>0</v>
      </c>
      <c r="AN13" s="44">
        <f t="shared" si="0"/>
        <v>0</v>
      </c>
      <c r="AO13" s="44">
        <f t="shared" si="0"/>
        <v>0</v>
      </c>
      <c r="AP13" s="44">
        <f t="shared" si="0"/>
        <v>0</v>
      </c>
      <c r="AQ13" s="44">
        <f t="shared" si="0"/>
        <v>0</v>
      </c>
      <c r="AR13" s="44">
        <f t="shared" si="0"/>
        <v>0</v>
      </c>
      <c r="AS13" s="4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S1" sqref="S1:S1048576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74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36" t="s">
        <v>75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29">
        <v>0</v>
      </c>
      <c r="H4" s="29">
        <v>0</v>
      </c>
      <c r="I4" s="29">
        <v>0</v>
      </c>
      <c r="J4" s="29">
        <v>0</v>
      </c>
      <c r="K4" s="29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  <c r="AM4" s="29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</row>
    <row r="5" spans="1:45" ht="18" customHeight="1">
      <c r="A5" s="36" t="s">
        <v>76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-30000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29">
        <v>0</v>
      </c>
      <c r="AL5" s="29">
        <v>0</v>
      </c>
      <c r="AM5" s="29">
        <v>0</v>
      </c>
      <c r="AN5" s="29">
        <v>0</v>
      </c>
      <c r="AO5" s="29">
        <v>0</v>
      </c>
      <c r="AP5" s="29">
        <v>0</v>
      </c>
      <c r="AQ5" s="29">
        <v>0</v>
      </c>
      <c r="AR5" s="29">
        <v>0</v>
      </c>
      <c r="AS5" s="29">
        <v>0</v>
      </c>
    </row>
    <row r="6" spans="1:45" ht="18" customHeight="1">
      <c r="A6" s="36" t="s">
        <v>77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-35000</v>
      </c>
      <c r="J6" s="29">
        <v>0</v>
      </c>
      <c r="K6" s="29">
        <v>0</v>
      </c>
      <c r="L6" s="29">
        <v>0</v>
      </c>
      <c r="M6" s="29">
        <v>-39000</v>
      </c>
      <c r="N6" s="29">
        <v>-39000</v>
      </c>
      <c r="O6" s="29">
        <v>0</v>
      </c>
      <c r="P6" s="29">
        <v>0</v>
      </c>
      <c r="Q6" s="29">
        <v>0</v>
      </c>
      <c r="R6" s="29">
        <v>0</v>
      </c>
      <c r="S6" s="29"/>
      <c r="T6" s="29"/>
      <c r="U6" s="29"/>
      <c r="V6" s="29"/>
      <c r="W6" s="29"/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29">
        <v>0</v>
      </c>
      <c r="AS6" s="29">
        <v>0</v>
      </c>
    </row>
    <row r="7" spans="1:45" ht="18" customHeight="1">
      <c r="A7" s="36" t="s">
        <v>78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-35000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</row>
    <row r="8" spans="1:45" ht="18" customHeight="1">
      <c r="A8" s="36" t="s">
        <v>79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</row>
    <row r="9" spans="1:45" ht="18" customHeight="1">
      <c r="A9" s="36" t="s">
        <v>80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-180000</v>
      </c>
      <c r="R9" s="29">
        <v>-360000</v>
      </c>
      <c r="S9" s="29">
        <v>-195000</v>
      </c>
      <c r="T9" s="29">
        <v>-195000</v>
      </c>
      <c r="U9" s="29">
        <v>-195000</v>
      </c>
      <c r="V9" s="29">
        <v>-195000</v>
      </c>
      <c r="W9" s="29">
        <v>-195000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0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</row>
    <row r="10" spans="1:45">
      <c r="A10" s="45" t="s">
        <v>73</v>
      </c>
      <c r="B10" s="46">
        <f t="shared" ref="B10:AS10" si="0">SUM(B4:B9)</f>
        <v>0</v>
      </c>
      <c r="C10" s="46">
        <f t="shared" si="0"/>
        <v>0</v>
      </c>
      <c r="D10" s="46">
        <f t="shared" si="0"/>
        <v>0</v>
      </c>
      <c r="E10" s="46">
        <f t="shared" si="0"/>
        <v>0</v>
      </c>
      <c r="F10" s="46">
        <f t="shared" si="0"/>
        <v>0</v>
      </c>
      <c r="G10" s="46">
        <f t="shared" si="0"/>
        <v>0</v>
      </c>
      <c r="H10" s="46">
        <f t="shared" si="0"/>
        <v>0</v>
      </c>
      <c r="I10" s="46">
        <f t="shared" si="0"/>
        <v>-70000</v>
      </c>
      <c r="J10" s="46">
        <f t="shared" si="0"/>
        <v>0</v>
      </c>
      <c r="K10" s="46">
        <f t="shared" si="0"/>
        <v>0</v>
      </c>
      <c r="L10" s="46">
        <f t="shared" si="0"/>
        <v>0</v>
      </c>
      <c r="M10" s="46">
        <f t="shared" si="0"/>
        <v>-39000</v>
      </c>
      <c r="N10" s="46">
        <f t="shared" si="0"/>
        <v>-39000</v>
      </c>
      <c r="O10" s="46">
        <f t="shared" si="0"/>
        <v>0</v>
      </c>
      <c r="P10" s="46">
        <f t="shared" si="0"/>
        <v>0</v>
      </c>
      <c r="Q10" s="46">
        <f t="shared" si="0"/>
        <v>-180000</v>
      </c>
      <c r="R10" s="46">
        <f t="shared" si="0"/>
        <v>-360000</v>
      </c>
      <c r="S10" s="46">
        <f t="shared" si="0"/>
        <v>-225000</v>
      </c>
      <c r="T10" s="46">
        <f t="shared" si="0"/>
        <v>-195000</v>
      </c>
      <c r="U10" s="46">
        <f t="shared" si="0"/>
        <v>-195000</v>
      </c>
      <c r="V10" s="46">
        <f t="shared" si="0"/>
        <v>-195000</v>
      </c>
      <c r="W10" s="46">
        <f t="shared" si="0"/>
        <v>-195000</v>
      </c>
      <c r="X10" s="46">
        <f t="shared" si="0"/>
        <v>0</v>
      </c>
      <c r="Y10" s="46">
        <f t="shared" si="0"/>
        <v>0</v>
      </c>
      <c r="Z10" s="46">
        <f t="shared" si="0"/>
        <v>0</v>
      </c>
      <c r="AA10" s="46">
        <f t="shared" si="0"/>
        <v>0</v>
      </c>
      <c r="AB10" s="46">
        <f t="shared" si="0"/>
        <v>0</v>
      </c>
      <c r="AC10" s="46">
        <f t="shared" si="0"/>
        <v>0</v>
      </c>
      <c r="AD10" s="46">
        <f t="shared" si="0"/>
        <v>0</v>
      </c>
      <c r="AE10" s="46">
        <f t="shared" si="0"/>
        <v>0</v>
      </c>
      <c r="AF10" s="46">
        <f t="shared" si="0"/>
        <v>0</v>
      </c>
      <c r="AG10" s="46">
        <f t="shared" si="0"/>
        <v>0</v>
      </c>
      <c r="AH10" s="46">
        <f t="shared" si="0"/>
        <v>0</v>
      </c>
      <c r="AI10" s="46">
        <f t="shared" si="0"/>
        <v>0</v>
      </c>
      <c r="AJ10" s="46">
        <f t="shared" si="0"/>
        <v>0</v>
      </c>
      <c r="AK10" s="46">
        <f t="shared" si="0"/>
        <v>0</v>
      </c>
      <c r="AL10" s="46">
        <f t="shared" si="0"/>
        <v>0</v>
      </c>
      <c r="AM10" s="46">
        <f t="shared" si="0"/>
        <v>0</v>
      </c>
      <c r="AN10" s="46">
        <f t="shared" si="0"/>
        <v>0</v>
      </c>
      <c r="AO10" s="46">
        <f t="shared" si="0"/>
        <v>0</v>
      </c>
      <c r="AP10" s="46">
        <f t="shared" si="0"/>
        <v>0</v>
      </c>
      <c r="AQ10" s="46">
        <f t="shared" si="0"/>
        <v>0</v>
      </c>
      <c r="AR10" s="46">
        <f t="shared" si="0"/>
        <v>0</v>
      </c>
      <c r="AS10" s="4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4"/>
  <sheetViews>
    <sheetView tabSelected="1" zoomScaleNormal="100" workbookViewId="0">
      <pane xSplit="1" ySplit="2" topLeftCell="I3" activePane="bottomRight" state="frozen"/>
      <selection pane="bottomRight" activeCell="U16" sqref="U16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81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7" t="s">
        <v>82</v>
      </c>
      <c r="B4" s="31">
        <v>0</v>
      </c>
      <c r="C4" s="31">
        <v>0</v>
      </c>
      <c r="D4" s="31">
        <v>0</v>
      </c>
      <c r="E4" s="31">
        <v>-24000</v>
      </c>
      <c r="F4" s="31">
        <v>-24000</v>
      </c>
      <c r="G4" s="31">
        <v>-31200</v>
      </c>
      <c r="H4" s="31">
        <v>-58500</v>
      </c>
      <c r="I4" s="31">
        <v>-31200</v>
      </c>
      <c r="J4" s="31">
        <v>-31200</v>
      </c>
      <c r="K4" s="31">
        <v>-32500</v>
      </c>
      <c r="L4" s="31">
        <v>-35000</v>
      </c>
      <c r="M4" s="31">
        <v>-35000</v>
      </c>
      <c r="N4" s="31">
        <v>-35000</v>
      </c>
      <c r="O4" s="31">
        <v>-35000</v>
      </c>
      <c r="P4" s="31">
        <v>-35000</v>
      </c>
      <c r="Q4" s="31"/>
      <c r="R4" s="31">
        <v>-36700</v>
      </c>
      <c r="S4" s="31">
        <v>-37109</v>
      </c>
      <c r="T4" s="31">
        <v>-37109</v>
      </c>
      <c r="U4" s="31">
        <v>-37109</v>
      </c>
      <c r="V4" s="31">
        <v>-37109</v>
      </c>
      <c r="W4" s="31">
        <v>-37109</v>
      </c>
      <c r="X4" s="31">
        <v>-37109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47" t="s">
        <v>83</v>
      </c>
      <c r="B5" s="31">
        <v>0</v>
      </c>
      <c r="C5" s="31">
        <v>0</v>
      </c>
      <c r="D5" s="31">
        <v>0</v>
      </c>
      <c r="E5" s="31">
        <v>0</v>
      </c>
      <c r="F5" s="31">
        <v>-223000</v>
      </c>
      <c r="G5" s="31">
        <v>-200000</v>
      </c>
      <c r="H5" s="31">
        <v>-161000</v>
      </c>
      <c r="I5" s="31">
        <v>-200000</v>
      </c>
      <c r="J5" s="31">
        <v>-206100</v>
      </c>
      <c r="K5" s="31">
        <v>-200000</v>
      </c>
      <c r="L5" s="31">
        <v>-200000</v>
      </c>
      <c r="M5" s="31">
        <v>-220000</v>
      </c>
      <c r="N5" s="31">
        <v>-220000</v>
      </c>
      <c r="O5" s="31">
        <v>-170000</v>
      </c>
      <c r="P5" s="31">
        <v>-170000</v>
      </c>
      <c r="Q5" s="31">
        <v>-170000</v>
      </c>
      <c r="R5" s="31">
        <v>-167000</v>
      </c>
      <c r="S5" s="31">
        <v>-170000</v>
      </c>
      <c r="T5" s="31">
        <v>-170000</v>
      </c>
      <c r="U5" s="31">
        <v>-170000</v>
      </c>
      <c r="V5" s="31">
        <v>-175000</v>
      </c>
      <c r="W5" s="31">
        <v>-175000</v>
      </c>
      <c r="X5" s="31">
        <v>-175000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47" t="s">
        <v>84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-136300</v>
      </c>
      <c r="I6" s="31">
        <v>-97000</v>
      </c>
      <c r="J6" s="31">
        <v>-79000</v>
      </c>
      <c r="K6" s="31">
        <v>-100000</v>
      </c>
      <c r="L6" s="31">
        <v>-87000</v>
      </c>
      <c r="M6" s="31">
        <v>-89000</v>
      </c>
      <c r="N6" s="31">
        <v>-100000</v>
      </c>
      <c r="O6" s="31">
        <v>-98000</v>
      </c>
      <c r="P6" s="31">
        <v>-109000</v>
      </c>
      <c r="Q6" s="31">
        <v>-110000</v>
      </c>
      <c r="R6" s="31">
        <v>-140000</v>
      </c>
      <c r="S6" s="31">
        <v>-98000</v>
      </c>
      <c r="T6" s="31">
        <v>-110000</v>
      </c>
      <c r="U6" s="31">
        <v>-110000</v>
      </c>
      <c r="V6" s="31">
        <v>-110000</v>
      </c>
      <c r="W6" s="31">
        <v>-110000</v>
      </c>
      <c r="X6" s="31">
        <v>-110000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47" t="s">
        <v>85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-75000</v>
      </c>
      <c r="I7" s="31">
        <v>-70000</v>
      </c>
      <c r="J7" s="31">
        <v>-75000</v>
      </c>
      <c r="K7" s="31">
        <v>-100000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47" t="s">
        <v>86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-21000</v>
      </c>
      <c r="J8" s="31">
        <v>-18000</v>
      </c>
      <c r="K8" s="31">
        <v>-18000</v>
      </c>
      <c r="L8" s="31">
        <v>-18000</v>
      </c>
      <c r="M8" s="31">
        <v>-20000</v>
      </c>
      <c r="N8" s="31">
        <v>-22000</v>
      </c>
      <c r="O8" s="31">
        <v>-21000</v>
      </c>
      <c r="P8" s="31">
        <v>-21000</v>
      </c>
      <c r="Q8" s="31">
        <v>-27880</v>
      </c>
      <c r="R8" s="31">
        <v>-27880</v>
      </c>
      <c r="S8" s="31">
        <v>-29950</v>
      </c>
      <c r="T8" s="31">
        <v>-29950</v>
      </c>
      <c r="U8" s="31">
        <v>-29950</v>
      </c>
      <c r="V8" s="31">
        <v>-29950</v>
      </c>
      <c r="W8" s="31">
        <v>-29950</v>
      </c>
      <c r="X8" s="31">
        <v>-29950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47" t="s">
        <v>87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-89600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 t="s">
        <v>71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8" customHeight="1">
      <c r="A10" s="65" t="s">
        <v>88</v>
      </c>
      <c r="B10" s="66">
        <v>0</v>
      </c>
      <c r="C10" s="66">
        <v>0</v>
      </c>
      <c r="D10" s="66">
        <v>0</v>
      </c>
      <c r="E10" s="66">
        <v>0</v>
      </c>
      <c r="F10" s="66">
        <v>0</v>
      </c>
      <c r="G10" s="66">
        <v>0</v>
      </c>
      <c r="H10" s="66">
        <v>0</v>
      </c>
      <c r="I10" s="66">
        <v>0</v>
      </c>
      <c r="J10" s="66">
        <v>0</v>
      </c>
      <c r="K10" s="66">
        <v>0</v>
      </c>
      <c r="L10" s="66">
        <v>0</v>
      </c>
      <c r="M10" s="66">
        <v>0</v>
      </c>
      <c r="N10" s="66">
        <v>-55804</v>
      </c>
      <c r="O10" s="66">
        <v>-18601.259999999998</v>
      </c>
      <c r="P10" s="66">
        <v>-18601.259999999998</v>
      </c>
      <c r="Q10" s="66">
        <v>-18601.259999999998</v>
      </c>
      <c r="R10" s="66">
        <v>-18601.259999999998</v>
      </c>
      <c r="S10" s="66">
        <v>-18601.259999999998</v>
      </c>
      <c r="T10" s="66">
        <v>-18601.259999999998</v>
      </c>
      <c r="U10" s="66">
        <v>-18601.259999999998</v>
      </c>
      <c r="V10" s="66">
        <v>-18601.259999999998</v>
      </c>
      <c r="W10" s="66">
        <v>-18601.259999999998</v>
      </c>
      <c r="X10" s="66">
        <v>-18601.259999999998</v>
      </c>
      <c r="Y10" s="66">
        <v>0</v>
      </c>
      <c r="Z10" s="66">
        <v>0</v>
      </c>
      <c r="AA10" s="66">
        <v>0</v>
      </c>
      <c r="AB10" s="66">
        <v>0</v>
      </c>
      <c r="AC10" s="66">
        <v>0</v>
      </c>
      <c r="AD10" s="66">
        <v>0</v>
      </c>
      <c r="AE10" s="66">
        <v>0</v>
      </c>
      <c r="AF10" s="66">
        <v>0</v>
      </c>
      <c r="AG10" s="66">
        <v>0</v>
      </c>
      <c r="AH10" s="66">
        <v>0</v>
      </c>
      <c r="AI10" s="66">
        <v>0</v>
      </c>
      <c r="AJ10" s="66">
        <v>0</v>
      </c>
      <c r="AK10" s="66">
        <v>0</v>
      </c>
      <c r="AL10" s="66">
        <v>0</v>
      </c>
      <c r="AM10" s="66">
        <v>0</v>
      </c>
      <c r="AN10" s="66">
        <v>0</v>
      </c>
      <c r="AO10" s="66">
        <v>0</v>
      </c>
      <c r="AP10" s="66">
        <v>0</v>
      </c>
      <c r="AQ10" s="66">
        <v>0</v>
      </c>
      <c r="AR10" s="66">
        <v>0</v>
      </c>
      <c r="AS10" s="66">
        <v>0</v>
      </c>
    </row>
    <row r="11" spans="1:45" s="25" customFormat="1" ht="18" customHeight="1">
      <c r="A11" s="65" t="s">
        <v>89</v>
      </c>
      <c r="B11" s="66">
        <v>0</v>
      </c>
      <c r="C11" s="66">
        <v>0</v>
      </c>
      <c r="D11" s="66">
        <v>0</v>
      </c>
      <c r="E11" s="66">
        <v>0</v>
      </c>
      <c r="F11" s="66">
        <v>0</v>
      </c>
      <c r="G11" s="66">
        <v>0</v>
      </c>
      <c r="H11" s="66">
        <v>0</v>
      </c>
      <c r="I11" s="66">
        <v>0</v>
      </c>
      <c r="J11" s="66">
        <v>0</v>
      </c>
      <c r="K11" s="66">
        <v>0</v>
      </c>
      <c r="L11" s="66">
        <v>-32000</v>
      </c>
      <c r="M11" s="66">
        <v>-34000</v>
      </c>
      <c r="N11" s="66">
        <v>-35000</v>
      </c>
      <c r="O11" s="66">
        <v>-35000</v>
      </c>
      <c r="P11" s="66">
        <v>-35000</v>
      </c>
      <c r="Q11" s="66">
        <v>-35000</v>
      </c>
      <c r="R11" s="66">
        <v>-37000</v>
      </c>
      <c r="S11" s="66">
        <v>-37000</v>
      </c>
      <c r="T11" s="66">
        <v>-37000</v>
      </c>
      <c r="U11" s="66">
        <v>-38000</v>
      </c>
      <c r="V11" s="66">
        <v>-38000</v>
      </c>
      <c r="W11" s="66">
        <v>-39000</v>
      </c>
      <c r="X11" s="66">
        <v>-39000</v>
      </c>
      <c r="Y11" s="66">
        <v>-40000</v>
      </c>
      <c r="Z11" s="66">
        <v>-40000</v>
      </c>
      <c r="AA11" s="66">
        <v>-41000</v>
      </c>
      <c r="AB11" s="66">
        <v>-41000</v>
      </c>
      <c r="AC11" s="66">
        <v>-42000</v>
      </c>
      <c r="AD11" s="66">
        <v>0</v>
      </c>
      <c r="AE11" s="66">
        <v>0</v>
      </c>
      <c r="AF11" s="66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6">
        <v>0</v>
      </c>
      <c r="AM11" s="66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6">
        <v>0</v>
      </c>
    </row>
    <row r="12" spans="1:45" s="25" customFormat="1" ht="18" customHeight="1">
      <c r="A12" s="65" t="s">
        <v>90</v>
      </c>
      <c r="B12" s="66">
        <v>0</v>
      </c>
      <c r="C12" s="66">
        <v>0</v>
      </c>
      <c r="D12" s="66">
        <v>0</v>
      </c>
      <c r="E12" s="66">
        <v>0</v>
      </c>
      <c r="F12" s="66">
        <v>-380000</v>
      </c>
      <c r="G12" s="66">
        <v>-380000</v>
      </c>
      <c r="H12" s="66">
        <v>-380000</v>
      </c>
      <c r="I12" s="66">
        <v>-402860</v>
      </c>
      <c r="J12" s="66">
        <v>-402860</v>
      </c>
      <c r="K12" s="66">
        <v>-402860</v>
      </c>
      <c r="L12" s="66">
        <v>-435000</v>
      </c>
      <c r="M12" s="66">
        <v>-435000</v>
      </c>
      <c r="N12" s="66">
        <v>-435000</v>
      </c>
      <c r="O12" s="66">
        <v>-470000</v>
      </c>
      <c r="P12" s="66">
        <v>-470000</v>
      </c>
      <c r="Q12" s="66">
        <v>-470000</v>
      </c>
      <c r="R12" s="66">
        <v>-505000</v>
      </c>
      <c r="S12" s="66">
        <v>-505000</v>
      </c>
      <c r="T12" s="66">
        <v>-505000</v>
      </c>
      <c r="U12" s="66">
        <v>-535000</v>
      </c>
      <c r="V12" s="66">
        <v>-535000</v>
      </c>
      <c r="W12" s="66">
        <v>-535000</v>
      </c>
      <c r="X12" s="66">
        <v>-562000</v>
      </c>
      <c r="Y12" s="66">
        <v>-562000</v>
      </c>
      <c r="Z12" s="66">
        <v>-562000</v>
      </c>
      <c r="AA12" s="66">
        <v>-592000</v>
      </c>
      <c r="AB12" s="66">
        <v>-592000</v>
      </c>
      <c r="AC12" s="66">
        <v>-592000</v>
      </c>
      <c r="AD12" s="66">
        <v>0</v>
      </c>
      <c r="AE12" s="66">
        <v>0</v>
      </c>
      <c r="AF12" s="66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6">
        <v>0</v>
      </c>
      <c r="AM12" s="66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6">
        <v>0</v>
      </c>
    </row>
    <row r="13" spans="1:45">
      <c r="A13" s="48" t="s">
        <v>73</v>
      </c>
      <c r="B13" s="49">
        <f>SUM(B4:B12)</f>
        <v>0</v>
      </c>
      <c r="C13" s="49">
        <f>SUM(C4:C12)</f>
        <v>0</v>
      </c>
      <c r="D13" s="49">
        <f>SUM(D4:D12)</f>
        <v>0</v>
      </c>
      <c r="E13" s="49">
        <f>SUM(E4:E12)</f>
        <v>-24000</v>
      </c>
      <c r="F13" s="49">
        <f>SUM(F4:F12)</f>
        <v>-627000</v>
      </c>
      <c r="G13" s="49">
        <f>SUM(G4:G12)</f>
        <v>-611200</v>
      </c>
      <c r="H13" s="49">
        <f>SUM(H4:H12)</f>
        <v>-810800</v>
      </c>
      <c r="I13" s="49">
        <f>SUM(I4:I12)</f>
        <v>-822060</v>
      </c>
      <c r="J13" s="49">
        <f>SUM(J4:J12)</f>
        <v>-812160</v>
      </c>
      <c r="K13" s="49">
        <f>SUM(K4:K12)</f>
        <v>-853360</v>
      </c>
      <c r="L13" s="49">
        <f>SUM(L4:L12)</f>
        <v>-807000</v>
      </c>
      <c r="M13" s="49">
        <f>SUM(M4:M12)</f>
        <v>-922600</v>
      </c>
      <c r="N13" s="49">
        <f>SUM(N4:N12)</f>
        <v>-902804</v>
      </c>
      <c r="O13" s="49">
        <f>SUM(O4:O12)</f>
        <v>-847601.26</v>
      </c>
      <c r="P13" s="49">
        <f>SUM(P4:P12)</f>
        <v>-858601.26</v>
      </c>
      <c r="Q13" s="49">
        <f>SUM(Q4:Q12)</f>
        <v>-831481.26</v>
      </c>
      <c r="R13" s="49">
        <f>SUM(R4:R12)</f>
        <v>-932181.26</v>
      </c>
      <c r="S13" s="49">
        <f>SUM(S4:S12)</f>
        <v>-895660.26</v>
      </c>
      <c r="T13" s="49">
        <f>SUM(T4:T12)</f>
        <v>-907660.26</v>
      </c>
      <c r="U13" s="49">
        <f>SUM(U4:U12)</f>
        <v>-938660.26</v>
      </c>
      <c r="V13" s="49">
        <f>SUM(V4:V12)</f>
        <v>-943660.26</v>
      </c>
      <c r="W13" s="49">
        <f>SUM(W4:W12)</f>
        <v>-944660.26</v>
      </c>
      <c r="X13" s="49">
        <f>SUM(X4:X12)</f>
        <v>-971660.26</v>
      </c>
      <c r="Y13" s="49">
        <f>SUM(Y4:Y12)</f>
        <v>-602000</v>
      </c>
      <c r="Z13" s="49">
        <f>SUM(Z4:Z12)</f>
        <v>-602000</v>
      </c>
      <c r="AA13" s="49">
        <f>SUM(AA4:AA12)</f>
        <v>-633000</v>
      </c>
      <c r="AB13" s="49">
        <f>SUM(AB4:AB12)</f>
        <v>-633000</v>
      </c>
      <c r="AC13" s="49">
        <f>SUM(AC4:AC12)</f>
        <v>-634000</v>
      </c>
      <c r="AD13" s="49">
        <f>SUM(AD4:AD12)</f>
        <v>0</v>
      </c>
      <c r="AE13" s="49">
        <f>SUM(AE4:AE12)</f>
        <v>0</v>
      </c>
      <c r="AF13" s="49">
        <f>SUM(AF4:AF12)</f>
        <v>0</v>
      </c>
      <c r="AG13" s="49">
        <f>SUM(AG4:AG12)</f>
        <v>0</v>
      </c>
      <c r="AH13" s="49">
        <f>SUM(AH4:AH12)</f>
        <v>0</v>
      </c>
      <c r="AI13" s="49">
        <f>SUM(AI4:AI12)</f>
        <v>0</v>
      </c>
      <c r="AJ13" s="49">
        <f>SUM(AJ4:AJ12)</f>
        <v>0</v>
      </c>
      <c r="AK13" s="49">
        <f>SUM(AK4:AK12)</f>
        <v>0</v>
      </c>
      <c r="AL13" s="49">
        <f>SUM(AL4:AL12)</f>
        <v>0</v>
      </c>
      <c r="AM13" s="49">
        <f>SUM(AM4:AM12)</f>
        <v>0</v>
      </c>
      <c r="AN13" s="49">
        <f>SUM(AN4:AN12)</f>
        <v>0</v>
      </c>
      <c r="AO13" s="49">
        <f>SUM(AO4:AO12)</f>
        <v>0</v>
      </c>
      <c r="AP13" s="49">
        <f>SUM(AP4:AP12)</f>
        <v>0</v>
      </c>
      <c r="AQ13" s="49">
        <f>SUM(AQ4:AQ12)</f>
        <v>0</v>
      </c>
      <c r="AR13" s="49">
        <f>SUM(AR4:AR12)</f>
        <v>0</v>
      </c>
      <c r="AS13" s="49">
        <f>SUM(AS4:AS12)</f>
        <v>0</v>
      </c>
    </row>
    <row r="14" spans="1:4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P3" activePane="bottomRight" state="frozen"/>
      <selection pane="bottomRight" activeCell="S1" sqref="S1:S1048576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8" t="s">
        <v>91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50" t="s">
        <v>92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-50000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33">
        <v>0</v>
      </c>
      <c r="R4" s="33">
        <v>0</v>
      </c>
      <c r="S4" s="33">
        <v>0</v>
      </c>
      <c r="T4" s="33">
        <v>0</v>
      </c>
      <c r="U4" s="33">
        <v>0</v>
      </c>
      <c r="V4" s="33">
        <v>0</v>
      </c>
      <c r="W4" s="33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33">
        <v>0</v>
      </c>
      <c r="AO4" s="33">
        <v>0</v>
      </c>
      <c r="AP4" s="33">
        <v>0</v>
      </c>
      <c r="AQ4" s="33">
        <v>0</v>
      </c>
      <c r="AR4" s="33">
        <v>0</v>
      </c>
      <c r="AS4" s="33">
        <v>0</v>
      </c>
    </row>
    <row r="5" spans="1:45" ht="18" customHeight="1">
      <c r="A5" s="50" t="s">
        <v>93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-250000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3">
        <v>-350000</v>
      </c>
      <c r="AA5" s="33">
        <v>0</v>
      </c>
      <c r="AB5" s="33">
        <v>0</v>
      </c>
      <c r="AC5" s="33">
        <v>0</v>
      </c>
      <c r="AD5" s="33">
        <v>0</v>
      </c>
      <c r="AE5" s="33">
        <v>0</v>
      </c>
      <c r="AF5" s="33">
        <v>0</v>
      </c>
      <c r="AG5" s="33">
        <v>0</v>
      </c>
      <c r="AH5" s="33">
        <v>0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33">
        <v>0</v>
      </c>
      <c r="AO5" s="33">
        <v>0</v>
      </c>
      <c r="AP5" s="33">
        <v>0</v>
      </c>
      <c r="AQ5" s="33">
        <v>0</v>
      </c>
      <c r="AR5" s="33">
        <v>0</v>
      </c>
      <c r="AS5" s="33">
        <v>0</v>
      </c>
    </row>
    <row r="6" spans="1:45" ht="18" customHeight="1">
      <c r="A6" s="50" t="s">
        <v>94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-492399</v>
      </c>
      <c r="N6" s="33">
        <v>-684195</v>
      </c>
      <c r="O6" s="33">
        <v>0</v>
      </c>
      <c r="P6" s="33">
        <v>0</v>
      </c>
      <c r="Q6" s="33">
        <v>-526518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33">
        <v>0</v>
      </c>
      <c r="AF6" s="33">
        <v>0</v>
      </c>
      <c r="AG6" s="33">
        <v>0</v>
      </c>
      <c r="AH6" s="33">
        <v>0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33">
        <v>0</v>
      </c>
      <c r="AO6" s="33">
        <v>0</v>
      </c>
      <c r="AP6" s="33">
        <v>0</v>
      </c>
      <c r="AQ6" s="33">
        <v>0</v>
      </c>
      <c r="AR6" s="33">
        <v>0</v>
      </c>
      <c r="AS6" s="33">
        <v>0</v>
      </c>
    </row>
    <row r="7" spans="1:45" ht="18" customHeight="1">
      <c r="A7" s="50" t="s">
        <v>95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0</v>
      </c>
      <c r="S7" s="33"/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33">
        <v>0</v>
      </c>
      <c r="AF7" s="33">
        <v>0</v>
      </c>
      <c r="AG7" s="33">
        <v>0</v>
      </c>
      <c r="AH7" s="33">
        <v>0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33">
        <v>0</v>
      </c>
      <c r="AO7" s="33">
        <v>0</v>
      </c>
      <c r="AP7" s="33">
        <v>0</v>
      </c>
      <c r="AQ7" s="33">
        <v>0</v>
      </c>
      <c r="AR7" s="33">
        <v>0</v>
      </c>
      <c r="AS7" s="33">
        <v>0</v>
      </c>
    </row>
    <row r="8" spans="1:45" ht="18" customHeight="1">
      <c r="A8" s="50" t="s">
        <v>96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-85000</v>
      </c>
      <c r="R8" s="33">
        <v>-70000</v>
      </c>
      <c r="S8" s="33">
        <v>-70000</v>
      </c>
      <c r="T8" s="33">
        <v>-70000</v>
      </c>
      <c r="U8" s="33">
        <v>-70000</v>
      </c>
      <c r="V8" s="33">
        <v>-70000</v>
      </c>
      <c r="W8" s="33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3">
        <v>0</v>
      </c>
      <c r="AH8" s="33">
        <v>0</v>
      </c>
      <c r="AI8" s="33">
        <v>0</v>
      </c>
      <c r="AJ8" s="33">
        <v>0</v>
      </c>
      <c r="AK8" s="33">
        <v>0</v>
      </c>
      <c r="AL8" s="33">
        <v>0</v>
      </c>
      <c r="AM8" s="33">
        <v>0</v>
      </c>
      <c r="AN8" s="33">
        <v>0</v>
      </c>
      <c r="AO8" s="33">
        <v>0</v>
      </c>
      <c r="AP8" s="33">
        <v>0</v>
      </c>
      <c r="AQ8" s="33">
        <v>0</v>
      </c>
      <c r="AR8" s="33">
        <v>0</v>
      </c>
      <c r="AS8" s="33">
        <v>0</v>
      </c>
    </row>
    <row r="9" spans="1:45" ht="18" customHeight="1">
      <c r="A9" s="50" t="s">
        <v>97</v>
      </c>
      <c r="B9" s="33">
        <v>0</v>
      </c>
      <c r="C9" s="33">
        <v>0</v>
      </c>
      <c r="D9" s="33">
        <v>0</v>
      </c>
      <c r="E9" s="33">
        <v>0</v>
      </c>
      <c r="F9" s="33">
        <v>500000</v>
      </c>
      <c r="G9" s="33">
        <v>0</v>
      </c>
      <c r="H9" s="33">
        <v>0</v>
      </c>
      <c r="I9" s="33">
        <v>0</v>
      </c>
      <c r="J9" s="33">
        <v>0</v>
      </c>
      <c r="K9" s="33">
        <v>665000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/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/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33">
        <v>0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</row>
    <row r="10" spans="1:45" ht="18" customHeight="1">
      <c r="A10" s="50" t="s">
        <v>98</v>
      </c>
      <c r="B10" s="33">
        <v>0</v>
      </c>
      <c r="C10" s="33">
        <v>0</v>
      </c>
      <c r="D10" s="33">
        <v>0</v>
      </c>
      <c r="E10" s="33">
        <v>0</v>
      </c>
      <c r="F10" s="33">
        <v>-760000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 t="s">
        <v>71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</row>
    <row r="11" spans="1:45">
      <c r="A11" s="51" t="s">
        <v>73</v>
      </c>
      <c r="B11" s="52">
        <f>SUM(B4:B10)</f>
        <v>0</v>
      </c>
      <c r="C11" s="52">
        <f>SUM(C4:C10)</f>
        <v>0</v>
      </c>
      <c r="D11" s="52">
        <f>SUM(D4:D10)</f>
        <v>0</v>
      </c>
      <c r="E11" s="52">
        <f>SUM(E4:E10)</f>
        <v>0</v>
      </c>
      <c r="F11" s="52">
        <f>SUM(F4:F10)</f>
        <v>-260000</v>
      </c>
      <c r="G11" s="52">
        <f>SUM(G4:G10)</f>
        <v>0</v>
      </c>
      <c r="H11" s="52">
        <f>SUM(H4:H10)</f>
        <v>0</v>
      </c>
      <c r="I11" s="52">
        <f>SUM(I4:I10)</f>
        <v>0</v>
      </c>
      <c r="J11" s="52">
        <f>SUM(J4:J10)</f>
        <v>0</v>
      </c>
      <c r="K11" s="52">
        <f>SUM(K4:K10)</f>
        <v>365000</v>
      </c>
      <c r="L11" s="52">
        <f>SUM(L4:L10)</f>
        <v>0</v>
      </c>
      <c r="M11" s="52">
        <f>SUM(M4:M10)</f>
        <v>-492399</v>
      </c>
      <c r="N11" s="52">
        <f>SUM(N4:N10)</f>
        <v>-684195</v>
      </c>
      <c r="O11" s="52">
        <f>SUM(O4:O10)</f>
        <v>0</v>
      </c>
      <c r="P11" s="52">
        <f>SUM(P4:P10)</f>
        <v>0</v>
      </c>
      <c r="Q11" s="52">
        <f>SUM(Q4:Q10)</f>
        <v>-611518</v>
      </c>
      <c r="R11" s="52">
        <f>SUM(R4:R10)</f>
        <v>-70000</v>
      </c>
      <c r="S11" s="52">
        <f>SUM(S4:S10)</f>
        <v>-70000</v>
      </c>
      <c r="T11" s="52">
        <f>SUM(T4:T10)</f>
        <v>-70000</v>
      </c>
      <c r="U11" s="52">
        <f>SUM(U4:U10)</f>
        <v>-70000</v>
      </c>
      <c r="V11" s="52">
        <f>SUM(V4:V10)</f>
        <v>-70000</v>
      </c>
      <c r="W11" s="52">
        <f>SUM(W4:W10)</f>
        <v>0</v>
      </c>
      <c r="X11" s="52">
        <f>SUM(X4:X10)</f>
        <v>0</v>
      </c>
      <c r="Y11" s="52">
        <f>SUM(Y4:Y10)</f>
        <v>0</v>
      </c>
      <c r="Z11" s="52">
        <f>SUM(Z4:Z10)</f>
        <v>-350000</v>
      </c>
      <c r="AA11" s="52">
        <f>SUM(AA4:AA10)</f>
        <v>0</v>
      </c>
      <c r="AB11" s="52">
        <f>SUM(AB4:AB10)</f>
        <v>0</v>
      </c>
      <c r="AC11" s="52">
        <f>SUM(AC4:AC10)</f>
        <v>0</v>
      </c>
      <c r="AD11" s="52">
        <f>SUM(AD4:AD10)</f>
        <v>0</v>
      </c>
      <c r="AE11" s="52">
        <f>SUM(AE4:AE10)</f>
        <v>0</v>
      </c>
      <c r="AF11" s="52">
        <f>SUM(AF4:AF10)</f>
        <v>0</v>
      </c>
      <c r="AG11" s="52">
        <f>SUM(AG4:AG10)</f>
        <v>0</v>
      </c>
      <c r="AH11" s="52">
        <f>SUM(AH4:AH10)</f>
        <v>0</v>
      </c>
      <c r="AI11" s="52">
        <f>SUM(AI4:AI10)</f>
        <v>0</v>
      </c>
      <c r="AJ11" s="52">
        <f>SUM(AJ4:AJ10)</f>
        <v>0</v>
      </c>
      <c r="AK11" s="52">
        <f>SUM(AK4:AK10)</f>
        <v>0</v>
      </c>
      <c r="AL11" s="52">
        <f>SUM(AL4:AL10)</f>
        <v>0</v>
      </c>
      <c r="AM11" s="52">
        <f>SUM(AM4:AM10)</f>
        <v>0</v>
      </c>
      <c r="AN11" s="52">
        <f>SUM(AN4:AN10)</f>
        <v>0</v>
      </c>
      <c r="AO11" s="52">
        <f>SUM(AO4:AO10)</f>
        <v>0</v>
      </c>
      <c r="AP11" s="52">
        <f>SUM(AP4:AP10)</f>
        <v>0</v>
      </c>
      <c r="AQ11" s="52">
        <f>SUM(AQ4:AQ10)</f>
        <v>0</v>
      </c>
      <c r="AR11" s="52">
        <f>SUM(AR4:AR10)</f>
        <v>0</v>
      </c>
      <c r="AS11" s="52">
        <f>SUM(AS4:AS10)</f>
        <v>0</v>
      </c>
    </row>
    <row r="12" spans="1:4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</row>
    <row r="13" spans="1:45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4" t="s">
        <v>99</v>
      </c>
      <c r="B1" s="55"/>
      <c r="C1" s="55"/>
      <c r="D1" s="55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9" sqref="E9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0" t="s">
        <v>104</v>
      </c>
      <c r="B1" s="55"/>
      <c r="C1" s="55"/>
      <c r="D1" s="55"/>
      <c r="E1" s="55"/>
      <c r="F1" s="55"/>
      <c r="G1" s="55"/>
      <c r="H1" s="55"/>
      <c r="I1" s="55"/>
    </row>
    <row r="2" spans="1:9" ht="20.100000000000001" customHeight="1">
      <c r="A2" s="62" t="s">
        <v>105</v>
      </c>
      <c r="B2" s="55"/>
      <c r="C2" s="55"/>
      <c r="D2" s="55"/>
      <c r="E2" s="55"/>
      <c r="F2" s="55"/>
      <c r="G2" s="55"/>
      <c r="H2" s="55"/>
      <c r="I2" s="55"/>
    </row>
    <row r="3" spans="1:9" ht="20.100000000000001" customHeight="1">
      <c r="A3" s="23" t="s">
        <v>106</v>
      </c>
      <c r="B3" s="22">
        <v>200000</v>
      </c>
      <c r="C3" s="64" t="s">
        <v>107</v>
      </c>
      <c r="D3" s="55"/>
      <c r="E3" s="55"/>
      <c r="F3" s="55"/>
      <c r="G3" s="55"/>
      <c r="H3" s="55"/>
      <c r="I3" s="55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53" t="s">
        <v>108</v>
      </c>
      <c r="B5" s="53" t="s">
        <v>109</v>
      </c>
      <c r="C5" s="53" t="s">
        <v>110</v>
      </c>
      <c r="D5" s="53" t="s">
        <v>111</v>
      </c>
      <c r="E5" s="53" t="s">
        <v>112</v>
      </c>
      <c r="F5" s="53" t="s">
        <v>113</v>
      </c>
      <c r="G5" s="53" t="s">
        <v>114</v>
      </c>
      <c r="H5" s="53" t="s">
        <v>115</v>
      </c>
      <c r="I5" s="53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71</v>
      </c>
      <c r="F6" s="7" t="s">
        <v>71</v>
      </c>
      <c r="G6" s="8" t="s">
        <v>71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71</v>
      </c>
      <c r="F7" s="13" t="s">
        <v>71</v>
      </c>
      <c r="G7" s="14" t="s">
        <v>71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61" t="s">
        <v>124</v>
      </c>
      <c r="B9" s="55"/>
      <c r="C9" s="55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63" t="s">
        <v>125</v>
      </c>
      <c r="B11" s="55"/>
      <c r="C11" s="55"/>
      <c r="D11" s="55"/>
      <c r="E11" s="55"/>
      <c r="F11" s="55"/>
      <c r="G11" s="55"/>
      <c r="H11" s="55"/>
      <c r="I11" s="55"/>
    </row>
    <row r="12" spans="1:9" ht="18" customHeight="1">
      <c r="A12" s="59" t="s">
        <v>126</v>
      </c>
      <c r="B12" s="55"/>
      <c r="C12" s="55"/>
      <c r="D12" s="55"/>
      <c r="E12" s="55"/>
      <c r="F12" s="55"/>
      <c r="G12" s="55"/>
      <c r="H12" s="55"/>
      <c r="I12" s="55"/>
    </row>
    <row r="13" spans="1:9" ht="18" customHeight="1">
      <c r="A13" s="59" t="s">
        <v>127</v>
      </c>
      <c r="B13" s="55"/>
      <c r="C13" s="55"/>
      <c r="D13" s="55"/>
      <c r="E13" s="55"/>
      <c r="F13" s="55"/>
      <c r="G13" s="55"/>
      <c r="H13" s="55"/>
      <c r="I13" s="55"/>
    </row>
    <row r="14" spans="1:9" ht="18" customHeight="1">
      <c r="A14" s="59" t="s">
        <v>128</v>
      </c>
      <c r="B14" s="55"/>
      <c r="C14" s="55"/>
      <c r="D14" s="55"/>
      <c r="E14" s="55"/>
      <c r="F14" s="55"/>
      <c r="G14" s="55"/>
      <c r="H14" s="55"/>
      <c r="I14" s="55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2026-08-05T20:41:09Z</dcterms:modified>
  <cp:category/>
  <cp:contentStatus/>
</cp:coreProperties>
</file>