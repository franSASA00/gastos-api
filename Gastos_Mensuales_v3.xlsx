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0" yWindow="0" windowWidth="16380" windowHeight="8190" tabRatio="500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</sheets>
  <calcPr calcId="1257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13" i="5"/>
  <c r="AR13"/>
  <c r="AQ13"/>
  <c r="AP13"/>
  <c r="AO13"/>
  <c r="AN13"/>
  <c r="AM13"/>
  <c r="AL13"/>
  <c r="AK13"/>
  <c r="AJ13"/>
  <c r="AI13"/>
  <c r="AH13"/>
  <c r="AG13"/>
  <c r="AF13"/>
  <c r="AE13"/>
  <c r="AD13"/>
  <c r="AC13"/>
  <c r="AB13"/>
  <c r="AA13"/>
  <c r="Z13"/>
  <c r="Z7" i="1" s="1"/>
  <c r="Y13" i="5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B13"/>
  <c r="AS11" i="4"/>
  <c r="AR11"/>
  <c r="AQ11"/>
  <c r="AP11"/>
  <c r="AO11"/>
  <c r="AN11"/>
  <c r="AM11"/>
  <c r="AL11"/>
  <c r="AK11"/>
  <c r="AJ11"/>
  <c r="AI11"/>
  <c r="AH11"/>
  <c r="AG11"/>
  <c r="AF11"/>
  <c r="AE11"/>
  <c r="AD11"/>
  <c r="AC11"/>
  <c r="AB11"/>
  <c r="AA11"/>
  <c r="Z11"/>
  <c r="Y11"/>
  <c r="X11"/>
  <c r="W11"/>
  <c r="V11"/>
  <c r="U11"/>
  <c r="T11"/>
  <c r="S11"/>
  <c r="R11"/>
  <c r="Q11"/>
  <c r="P11"/>
  <c r="O11"/>
  <c r="N11"/>
  <c r="M11"/>
  <c r="L11"/>
  <c r="K11"/>
  <c r="J11"/>
  <c r="I11"/>
  <c r="H11"/>
  <c r="G11"/>
  <c r="F11"/>
  <c r="E11"/>
  <c r="D11"/>
  <c r="C11"/>
  <c r="B11"/>
  <c r="AS10" i="3"/>
  <c r="AR10"/>
  <c r="AQ10"/>
  <c r="AP10"/>
  <c r="AO10"/>
  <c r="AN10"/>
  <c r="AM10"/>
  <c r="AL10"/>
  <c r="AK10"/>
  <c r="AJ10"/>
  <c r="AI10"/>
  <c r="AH10"/>
  <c r="AG10"/>
  <c r="AF10"/>
  <c r="AE10"/>
  <c r="AD10"/>
  <c r="AC10"/>
  <c r="AB10"/>
  <c r="AA10"/>
  <c r="Z10"/>
  <c r="Y10"/>
  <c r="X10"/>
  <c r="W10"/>
  <c r="V10"/>
  <c r="U10"/>
  <c r="T10"/>
  <c r="S10"/>
  <c r="R10"/>
  <c r="Q10"/>
  <c r="P10"/>
  <c r="O10"/>
  <c r="N10"/>
  <c r="M10"/>
  <c r="L10"/>
  <c r="K10"/>
  <c r="J10"/>
  <c r="I10"/>
  <c r="H10"/>
  <c r="G10"/>
  <c r="F10"/>
  <c r="E10"/>
  <c r="D10"/>
  <c r="C10"/>
  <c r="B10"/>
  <c r="AS13" i="2"/>
  <c r="AR13"/>
  <c r="AQ13"/>
  <c r="AP13"/>
  <c r="AO13"/>
  <c r="AN13"/>
  <c r="AM13"/>
  <c r="AL13"/>
  <c r="AK13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B13"/>
  <c r="AS15" i="1"/>
  <c r="AR15"/>
  <c r="AQ15"/>
  <c r="AP15"/>
  <c r="AO15"/>
  <c r="AN15"/>
  <c r="AM15"/>
  <c r="AL15"/>
  <c r="AK15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H15"/>
  <c r="G15"/>
  <c r="F15"/>
  <c r="E15"/>
  <c r="D15"/>
  <c r="C15"/>
  <c r="B15"/>
  <c r="AS7"/>
  <c r="AR7"/>
  <c r="AQ7"/>
  <c r="AP7"/>
  <c r="AO7"/>
  <c r="AN7"/>
  <c r="AM7"/>
  <c r="AL7"/>
  <c r="AK7"/>
  <c r="AJ7"/>
  <c r="AI7"/>
  <c r="AH7"/>
  <c r="AG7"/>
  <c r="AF7"/>
  <c r="AE7"/>
  <c r="AD7"/>
  <c r="AC7"/>
  <c r="AB7"/>
  <c r="AA7"/>
  <c r="Y7"/>
  <c r="X7"/>
  <c r="W7"/>
  <c r="V7"/>
  <c r="U7"/>
  <c r="T7"/>
  <c r="S7"/>
  <c r="R7"/>
  <c r="Q7"/>
  <c r="P7"/>
  <c r="O7"/>
  <c r="N7"/>
  <c r="M7"/>
  <c r="L7"/>
  <c r="K7"/>
  <c r="J7"/>
  <c r="I7"/>
  <c r="H7"/>
  <c r="G7"/>
  <c r="F7"/>
  <c r="E7"/>
  <c r="D7"/>
  <c r="C7"/>
  <c r="B7"/>
  <c r="AS6"/>
  <c r="AR6"/>
  <c r="AQ6"/>
  <c r="AP6"/>
  <c r="AO6"/>
  <c r="AN6"/>
  <c r="AM6"/>
  <c r="AL6"/>
  <c r="AK6"/>
  <c r="AJ6"/>
  <c r="AI6"/>
  <c r="AH6"/>
  <c r="AG6"/>
  <c r="AF6"/>
  <c r="AE6"/>
  <c r="AD6"/>
  <c r="AC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S5"/>
  <c r="AR5"/>
  <c r="AQ5"/>
  <c r="AP5"/>
  <c r="AO5"/>
  <c r="AN5"/>
  <c r="AM5"/>
  <c r="AL5"/>
  <c r="AK5"/>
  <c r="AJ5"/>
  <c r="AI5"/>
  <c r="AH5"/>
  <c r="AG5"/>
  <c r="AF5"/>
  <c r="AE5"/>
  <c r="AD5"/>
  <c r="AC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S4"/>
  <c r="AS8" s="1"/>
  <c r="AR4"/>
  <c r="AR8" s="1"/>
  <c r="AQ4"/>
  <c r="AQ8" s="1"/>
  <c r="AP4"/>
  <c r="AP8" s="1"/>
  <c r="AO4"/>
  <c r="AO8" s="1"/>
  <c r="AN4"/>
  <c r="AN8" s="1"/>
  <c r="AM4"/>
  <c r="AM8" s="1"/>
  <c r="AL4"/>
  <c r="AL8" s="1"/>
  <c r="AK4"/>
  <c r="AK8" s="1"/>
  <c r="AJ4"/>
  <c r="AJ8" s="1"/>
  <c r="AI4"/>
  <c r="AI8" s="1"/>
  <c r="AI16" s="1"/>
  <c r="AH4"/>
  <c r="AH8" s="1"/>
  <c r="AH16" s="1"/>
  <c r="AG4"/>
  <c r="AG8" s="1"/>
  <c r="AG16" s="1"/>
  <c r="AF4"/>
  <c r="AF8" s="1"/>
  <c r="AF16" s="1"/>
  <c r="AE4"/>
  <c r="AE8" s="1"/>
  <c r="AD4"/>
  <c r="AD8" s="1"/>
  <c r="AC4"/>
  <c r="AC8" s="1"/>
  <c r="AB4"/>
  <c r="AB8" s="1"/>
  <c r="AA4"/>
  <c r="AA8" s="1"/>
  <c r="AA16" s="1"/>
  <c r="Z4"/>
  <c r="Y4"/>
  <c r="Y8" s="1"/>
  <c r="Y16" s="1"/>
  <c r="X4"/>
  <c r="X8" s="1"/>
  <c r="X16" s="1"/>
  <c r="W4"/>
  <c r="W8" s="1"/>
  <c r="V4"/>
  <c r="V8" s="1"/>
  <c r="U4"/>
  <c r="U8" s="1"/>
  <c r="T4"/>
  <c r="T8" s="1"/>
  <c r="S4"/>
  <c r="S8" s="1"/>
  <c r="S16" s="1"/>
  <c r="R4"/>
  <c r="R8" s="1"/>
  <c r="R16" s="1"/>
  <c r="Q4"/>
  <c r="Q8" s="1"/>
  <c r="Q16" s="1"/>
  <c r="P4"/>
  <c r="P8" s="1"/>
  <c r="P16" s="1"/>
  <c r="O4"/>
  <c r="O8" s="1"/>
  <c r="N4"/>
  <c r="N8" s="1"/>
  <c r="M4"/>
  <c r="M8" s="1"/>
  <c r="L4"/>
  <c r="L8" s="1"/>
  <c r="K4"/>
  <c r="K8" s="1"/>
  <c r="K16" s="1"/>
  <c r="J4"/>
  <c r="J8" s="1"/>
  <c r="J16" s="1"/>
  <c r="I4"/>
  <c r="I8" s="1"/>
  <c r="I16" s="1"/>
  <c r="H4"/>
  <c r="H8" s="1"/>
  <c r="H16" s="1"/>
  <c r="G4"/>
  <c r="G8" s="1"/>
  <c r="F4"/>
  <c r="F8" s="1"/>
  <c r="E4"/>
  <c r="E8" s="1"/>
  <c r="D4"/>
  <c r="D8" s="1"/>
  <c r="C4"/>
  <c r="C8" s="1"/>
  <c r="C16" s="1"/>
  <c r="B4"/>
  <c r="B8" s="1"/>
  <c r="B16" s="1"/>
  <c r="Z8" l="1"/>
  <c r="Z16" s="1"/>
  <c r="W16"/>
  <c r="F16"/>
  <c r="V16"/>
  <c r="E16"/>
  <c r="M16"/>
  <c r="U16"/>
  <c r="AC16"/>
  <c r="AK16"/>
  <c r="AS16"/>
  <c r="D16"/>
  <c r="L16"/>
  <c r="T16"/>
  <c r="AB16"/>
  <c r="AJ16"/>
  <c r="AR16"/>
  <c r="O16"/>
  <c r="AM16"/>
  <c r="N16"/>
  <c r="AD16"/>
  <c r="AQ16"/>
  <c r="AP16"/>
  <c r="G16"/>
  <c r="AE16"/>
  <c r="AL16"/>
  <c r="AO16"/>
  <c r="AN16"/>
</calcChain>
</file>

<file path=xl/sharedStrings.xml><?xml version="1.0" encoding="utf-8"?>
<sst xmlns="http://schemas.openxmlformats.org/spreadsheetml/2006/main" count="499" uniqueCount="104">
  <si>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</si>
  <si>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</si>
  <si>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</si>
  <si>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</si>
  <si>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</si>
  <si>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</si>
  <si>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</si>
  <si>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</si>
  <si>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</si>
  <si>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</si>
  <si>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</si>
  <si>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</si>
  <si>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</si>
  <si>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</si>
  <si>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</si>
  <si>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</si>
  <si>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</si>
  <si>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</si>
  <si>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</si>
  <si>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</si>
  <si>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</si>
  <si>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</si>
  <si>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</si>
  <si>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</si>
  <si>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</si>
  <si>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</si>
  <si>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</si>
  <si>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</si>
  <si>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</si>
  <si>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</si>
  <si>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</si>
  <si>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</si>
  <si>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</si>
  <si>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</si>
  <si>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</si>
  <si>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</si>
  <si>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</si>
  <si>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</si>
  <si>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</si>
  <si>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</si>
  <si>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</si>
  <si>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</si>
  <si>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</si>
  <si>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</si>
  <si>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</si>
  <si>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</si>
  <si>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</si>
  <si>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</si>
  <si>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</si>
  <si>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</si>
  <si>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</si>
  <si>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</si>
  <si>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</si>
  <si>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</si>
  <si>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</si>
  <si>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</si>
  <si>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</si>
  <si>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</si>
  <si>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</si>
  <si>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</si>
  <si>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</si>
  <si>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</si>
  <si>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</si>
  <si>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</si>
  <si>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</si>
  <si>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</si>
  <si>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</si>
  <si>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</si>
  <si>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</si>
  <si>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</si>
  <si>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</si>
  <si>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</si>
  <si>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</si>
  <si>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</si>
  <si>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</si>
  <si>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</si>
  <si>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</si>
  <si>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</si>
  <si>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</si>
  <si>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</si>
  <si>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</si>
  <si>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</si>
  <si>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</si>
  <si>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</si>
  <si>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</si>
  <si>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</si>
  <si>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</si>
  <si>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</si>
  <si>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</si>
  <si>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</si>
  <si>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</si>
  <si>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Leo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</si>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</sst>
</file>

<file path=xl/styles.xml><?xml version="1.0" encoding="utf-8"?>
<styleSheet xmlns="http://schemas.openxmlformats.org/spreadsheetml/2006/main">
  <numFmts count="1">
    <numFmt numFmtId="164" formatCode="#,##0;\(#,##0\);\-"/>
  </numFmts>
  <fonts count="10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" fillId="3" borderId="0" xfId="0" applyFont="1" applyFill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 wrapText="1"/>
    </xf>
    <xf numFmtId="0" fontId="3" fillId="14" borderId="0" xfId="0" applyFont="1" applyFill="1" applyBorder="1" applyAlignment="1">
      <alignment horizontal="center" vertical="center" wrapText="1"/>
    </xf>
    <xf numFmtId="0" fontId="3" fillId="16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6"/>
  <sheetViews>
    <sheetView tabSelected="1"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1" t="s">
        <v>48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18" customHeight="1">
      <c r="A4" s="3" t="s">
        <v>49</v>
      </c>
      <c r="B4" s="4">
        <f>Tarjetas_Bancos!B13</f>
        <v>-2307584.0099999998</v>
      </c>
      <c r="C4" s="4">
        <f>Tarjetas_Bancos!C13</f>
        <v>-1341061.69</v>
      </c>
      <c r="D4" s="4">
        <f>Tarjetas_Bancos!D13</f>
        <v>-2287461.69</v>
      </c>
      <c r="E4" s="4">
        <f>Tarjetas_Bancos!E13</f>
        <v>-2689870</v>
      </c>
      <c r="F4" s="4">
        <f>Tarjetas_Bancos!F13</f>
        <v>-2153870</v>
      </c>
      <c r="G4" s="4">
        <f>Tarjetas_Bancos!G13</f>
        <v>-2806870</v>
      </c>
      <c r="H4" s="4">
        <f>Tarjetas_Bancos!H13</f>
        <v>-6759277</v>
      </c>
      <c r="I4" s="4">
        <f>Tarjetas_Bancos!I13</f>
        <v>-1860000</v>
      </c>
      <c r="J4" s="4">
        <f>Tarjetas_Bancos!J13</f>
        <v>-2744000</v>
      </c>
      <c r="K4" s="4">
        <f>Tarjetas_Bancos!K13</f>
        <v>-2611000</v>
      </c>
      <c r="L4" s="4">
        <f>Tarjetas_Bancos!L13</f>
        <v>-1161000</v>
      </c>
      <c r="M4" s="4">
        <f>Tarjetas_Bancos!M13</f>
        <v>-938000</v>
      </c>
      <c r="N4" s="4">
        <f>Tarjetas_Bancos!N13</f>
        <v>-1124000</v>
      </c>
      <c r="O4" s="4">
        <f>Tarjetas_Bancos!O13</f>
        <v>-575000</v>
      </c>
      <c r="P4" s="4">
        <f>Tarjetas_Bancos!P13</f>
        <v>-844000</v>
      </c>
      <c r="Q4" s="4">
        <f>Tarjetas_Bancos!Q13</f>
        <v>-897000</v>
      </c>
      <c r="R4" s="4">
        <f>Tarjetas_Bancos!R13</f>
        <v>-1579000</v>
      </c>
      <c r="S4" s="4">
        <f>Tarjetas_Bancos!S13</f>
        <v>-939000</v>
      </c>
      <c r="T4" s="4">
        <f>Tarjetas_Bancos!T13</f>
        <v>-139000</v>
      </c>
      <c r="U4" s="4">
        <f>Tarjetas_Bancos!U13</f>
        <v>-139000</v>
      </c>
      <c r="V4" s="4">
        <f>Tarjetas_Bancos!V13</f>
        <v>-139000</v>
      </c>
      <c r="W4" s="4">
        <f>Tarjetas_Bancos!W13</f>
        <v>-139000</v>
      </c>
      <c r="X4" s="4">
        <f>Tarjetas_Bancos!X13</f>
        <v>-139000</v>
      </c>
      <c r="Y4" s="4">
        <f>Tarjetas_Bancos!Y13</f>
        <v>-139000</v>
      </c>
      <c r="Z4" s="4">
        <f>Tarjetas_Bancos!Z13</f>
        <v>-139000</v>
      </c>
      <c r="AA4" s="4">
        <f>Tarjetas_Bancos!AA13</f>
        <v>-139000</v>
      </c>
      <c r="AB4" s="4">
        <f>Tarjetas_Bancos!AB13</f>
        <v>-139000</v>
      </c>
      <c r="AC4" s="4">
        <f>Tarjetas_Bancos!AC13</f>
        <v>-139000</v>
      </c>
      <c r="AD4" s="4">
        <f>Tarjetas_Bancos!AD13</f>
        <v>-139000</v>
      </c>
      <c r="AE4" s="4">
        <f>Tarjetas_Bancos!AE13</f>
        <v>-139000</v>
      </c>
      <c r="AF4" s="4">
        <f>Tarjetas_Bancos!AF13</f>
        <v>-139000</v>
      </c>
      <c r="AG4" s="4">
        <f>Tarjetas_Bancos!AG13</f>
        <v>-139000</v>
      </c>
      <c r="AH4" s="4">
        <f>Tarjetas_Bancos!AH13</f>
        <v>-139000</v>
      </c>
      <c r="AI4" s="4">
        <f>Tarjetas_Bancos!AI13</f>
        <v>-139000</v>
      </c>
      <c r="AJ4" s="4">
        <f>Tarjetas_Bancos!AJ13</f>
        <v>0</v>
      </c>
      <c r="AK4" s="4">
        <f>Tarjetas_Bancos!AK13</f>
        <v>0</v>
      </c>
      <c r="AL4" s="4">
        <f>Tarjetas_Bancos!AL13</f>
        <v>0</v>
      </c>
      <c r="AM4" s="4">
        <f>Tarjetas_Bancos!AM13</f>
        <v>0</v>
      </c>
      <c r="AN4" s="4">
        <f>Tarjetas_Bancos!AN13</f>
        <v>0</v>
      </c>
      <c r="AO4" s="4">
        <f>Tarjetas_Bancos!AO13</f>
        <v>0</v>
      </c>
      <c r="AP4" s="4">
        <f>Tarjetas_Bancos!AP13</f>
        <v>0</v>
      </c>
      <c r="AQ4" s="4">
        <f>Tarjetas_Bancos!AQ13</f>
        <v>0</v>
      </c>
      <c r="AR4" s="4">
        <f>Tarjetas_Bancos!AR13</f>
        <v>0</v>
      </c>
      <c r="AS4" s="4">
        <f>Tarjetas_Bancos!AS13</f>
        <v>0</v>
      </c>
    </row>
    <row r="5" spans="1:45" ht="18" customHeight="1">
      <c r="A5" s="5" t="s">
        <v>50</v>
      </c>
      <c r="B5" s="6">
        <f>Gastos_Personales!B10</f>
        <v>0</v>
      </c>
      <c r="C5" s="6">
        <f>Gastos_Personales!C10</f>
        <v>0</v>
      </c>
      <c r="D5" s="6">
        <f>Gastos_Personales!D10</f>
        <v>0</v>
      </c>
      <c r="E5" s="6">
        <f>Gastos_Personales!E10</f>
        <v>0</v>
      </c>
      <c r="F5" s="6">
        <f>Gastos_Personales!F10</f>
        <v>0</v>
      </c>
      <c r="G5" s="6">
        <f>Gastos_Personales!G10</f>
        <v>0</v>
      </c>
      <c r="H5" s="6">
        <f>Gastos_Personales!H10</f>
        <v>0</v>
      </c>
      <c r="I5" s="6">
        <f>Gastos_Personales!I10</f>
        <v>-70000</v>
      </c>
      <c r="J5" s="6">
        <f>Gastos_Personales!J10</f>
        <v>0</v>
      </c>
      <c r="K5" s="6">
        <f>Gastos_Personales!K10</f>
        <v>0</v>
      </c>
      <c r="L5" s="6">
        <f>Gastos_Personales!L10</f>
        <v>0</v>
      </c>
      <c r="M5" s="6">
        <f>Gastos_Personales!M10</f>
        <v>-39000</v>
      </c>
      <c r="N5" s="6">
        <f>Gastos_Personales!N10</f>
        <v>-39000</v>
      </c>
      <c r="O5" s="6">
        <f>Gastos_Personales!O10</f>
        <v>0</v>
      </c>
      <c r="P5" s="6">
        <f>Gastos_Personales!P10</f>
        <v>0</v>
      </c>
      <c r="Q5" s="6">
        <f>Gastos_Personales!Q10</f>
        <v>-180000</v>
      </c>
      <c r="R5" s="6">
        <f>Gastos_Personales!R10</f>
        <v>-180000</v>
      </c>
      <c r="S5" s="6">
        <f>Gastos_Personales!S10</f>
        <v>-210000</v>
      </c>
      <c r="T5" s="6">
        <f>Gastos_Personales!T10</f>
        <v>-180000</v>
      </c>
      <c r="U5" s="6">
        <f>Gastos_Personales!U10</f>
        <v>-180000</v>
      </c>
      <c r="V5" s="6">
        <f>Gastos_Personales!V10</f>
        <v>-180000</v>
      </c>
      <c r="W5" s="6">
        <f>Gastos_Personales!W10</f>
        <v>-180000</v>
      </c>
      <c r="X5" s="6">
        <f>Gastos_Personales!X10</f>
        <v>0</v>
      </c>
      <c r="Y5" s="6">
        <f>Gastos_Personales!Y10</f>
        <v>0</v>
      </c>
      <c r="Z5" s="6">
        <f>Gastos_Personales!Z10</f>
        <v>0</v>
      </c>
      <c r="AA5" s="6">
        <f>Gastos_Personales!AA10</f>
        <v>0</v>
      </c>
      <c r="AB5" s="6">
        <f>Gastos_Personales!AB10</f>
        <v>0</v>
      </c>
      <c r="AC5" s="6">
        <f>Gastos_Personales!AC10</f>
        <v>0</v>
      </c>
      <c r="AD5" s="6">
        <f>Gastos_Personales!AD10</f>
        <v>0</v>
      </c>
      <c r="AE5" s="6">
        <f>Gastos_Personales!AE10</f>
        <v>0</v>
      </c>
      <c r="AF5" s="6">
        <f>Gastos_Personales!AF10</f>
        <v>0</v>
      </c>
      <c r="AG5" s="6">
        <f>Gastos_Personales!AG10</f>
        <v>0</v>
      </c>
      <c r="AH5" s="6">
        <f>Gastos_Personales!AH10</f>
        <v>0</v>
      </c>
      <c r="AI5" s="6">
        <f>Gastos_Personales!AI10</f>
        <v>0</v>
      </c>
      <c r="AJ5" s="6">
        <f>Gastos_Personales!AJ10</f>
        <v>0</v>
      </c>
      <c r="AK5" s="6">
        <f>Gastos_Personales!AK10</f>
        <v>0</v>
      </c>
      <c r="AL5" s="6">
        <f>Gastos_Personales!AL10</f>
        <v>0</v>
      </c>
      <c r="AM5" s="6">
        <f>Gastos_Personales!AM10</f>
        <v>0</v>
      </c>
      <c r="AN5" s="6">
        <f>Gastos_Personales!AN10</f>
        <v>0</v>
      </c>
      <c r="AO5" s="6">
        <f>Gastos_Personales!AO10</f>
        <v>0</v>
      </c>
      <c r="AP5" s="6">
        <f>Gastos_Personales!AP10</f>
        <v>0</v>
      </c>
      <c r="AQ5" s="6">
        <f>Gastos_Personales!AQ10</f>
        <v>0</v>
      </c>
      <c r="AR5" s="6">
        <f>Gastos_Personales!AR10</f>
        <v>0</v>
      </c>
      <c r="AS5" s="6">
        <f>Gastos_Personales!AS10</f>
        <v>0</v>
      </c>
    </row>
    <row r="6" spans="1:45" ht="18" customHeight="1">
      <c r="A6" s="7" t="s">
        <v>51</v>
      </c>
      <c r="B6" s="8">
        <f>Hogar!B11</f>
        <v>0</v>
      </c>
      <c r="C6" s="8">
        <f>Hogar!C11</f>
        <v>0</v>
      </c>
      <c r="D6" s="8">
        <f>Hogar!D11</f>
        <v>0</v>
      </c>
      <c r="E6" s="8">
        <f>Hogar!E11</f>
        <v>-24000</v>
      </c>
      <c r="F6" s="8">
        <f>Hogar!F11</f>
        <v>-247000</v>
      </c>
      <c r="G6" s="8">
        <f>Hogar!G11</f>
        <v>-231200</v>
      </c>
      <c r="H6" s="8">
        <f>Hogar!H11</f>
        <v>-430800</v>
      </c>
      <c r="I6" s="8">
        <f>Hogar!I11</f>
        <v>-419200</v>
      </c>
      <c r="J6" s="8">
        <f>Hogar!J11</f>
        <v>-409300</v>
      </c>
      <c r="K6" s="8">
        <f>Hogar!K11</f>
        <v>-450500</v>
      </c>
      <c r="L6" s="8">
        <f>Hogar!L11</f>
        <v>-340000</v>
      </c>
      <c r="M6" s="8">
        <f>Hogar!M11</f>
        <v>-453600</v>
      </c>
      <c r="N6" s="8">
        <f>Hogar!N11</f>
        <v>-432804</v>
      </c>
      <c r="O6" s="8">
        <f>Hogar!O11</f>
        <v>-342601.26</v>
      </c>
      <c r="P6" s="8">
        <f>Hogar!P11</f>
        <v>-353601.26</v>
      </c>
      <c r="Q6" s="8">
        <f>Hogar!Q11</f>
        <v>-326481.26</v>
      </c>
      <c r="R6" s="8">
        <f>Hogar!R11</f>
        <v>-361481.26</v>
      </c>
      <c r="S6" s="8">
        <f>Hogar!S11</f>
        <v>-391481.26</v>
      </c>
      <c r="T6" s="8">
        <f>Hogar!T11</f>
        <v>-391481.26</v>
      </c>
      <c r="U6" s="8">
        <f>Hogar!U11</f>
        <v>-391481.26</v>
      </c>
      <c r="V6" s="8">
        <f>Hogar!V11</f>
        <v>-391481.26</v>
      </c>
      <c r="W6" s="8">
        <f>Hogar!W11</f>
        <v>-391481.26</v>
      </c>
      <c r="X6" s="8">
        <f>Hogar!X11</f>
        <v>-405601.26</v>
      </c>
      <c r="Y6" s="8">
        <f>Hogar!Y11</f>
        <v>0</v>
      </c>
      <c r="Z6" s="8">
        <f>Hogar!Z11</f>
        <v>0</v>
      </c>
      <c r="AA6" s="8">
        <f>Hogar!AA11</f>
        <v>0</v>
      </c>
      <c r="AB6" s="8">
        <f>Hogar!AB11</f>
        <v>0</v>
      </c>
      <c r="AC6" s="8">
        <f>Hogar!AC11</f>
        <v>0</v>
      </c>
      <c r="AD6" s="8">
        <f>Hogar!AD11</f>
        <v>0</v>
      </c>
      <c r="AE6" s="8">
        <f>Hogar!AE11</f>
        <v>0</v>
      </c>
      <c r="AF6" s="8">
        <f>Hogar!AF11</f>
        <v>0</v>
      </c>
      <c r="AG6" s="8">
        <f>Hogar!AG11</f>
        <v>0</v>
      </c>
      <c r="AH6" s="8">
        <f>Hogar!AH11</f>
        <v>0</v>
      </c>
      <c r="AI6" s="8">
        <f>Hogar!AI11</f>
        <v>0</v>
      </c>
      <c r="AJ6" s="8">
        <f>Hogar!AJ11</f>
        <v>0</v>
      </c>
      <c r="AK6" s="8">
        <f>Hogar!AK11</f>
        <v>0</v>
      </c>
      <c r="AL6" s="8">
        <f>Hogar!AL11</f>
        <v>0</v>
      </c>
      <c r="AM6" s="8">
        <f>Hogar!AM11</f>
        <v>0</v>
      </c>
      <c r="AN6" s="8">
        <f>Hogar!AN11</f>
        <v>0</v>
      </c>
      <c r="AO6" s="8">
        <f>Hogar!AO11</f>
        <v>0</v>
      </c>
      <c r="AP6" s="8">
        <f>Hogar!AP11</f>
        <v>0</v>
      </c>
      <c r="AQ6" s="8">
        <f>Hogar!AQ11</f>
        <v>0</v>
      </c>
      <c r="AR6" s="8">
        <f>Hogar!AR11</f>
        <v>0</v>
      </c>
      <c r="AS6" s="8">
        <f>Hogar!AS11</f>
        <v>0</v>
      </c>
    </row>
    <row r="7" spans="1:45" ht="18" customHeight="1">
      <c r="A7" s="9" t="s">
        <v>52</v>
      </c>
      <c r="B7" s="10">
        <f>Deudas_Varios!B13</f>
        <v>0</v>
      </c>
      <c r="C7" s="10">
        <f>Deudas_Varios!C13</f>
        <v>0</v>
      </c>
      <c r="D7" s="10">
        <f>Deudas_Varios!D13</f>
        <v>0</v>
      </c>
      <c r="E7" s="10">
        <f>Deudas_Varios!E13</f>
        <v>0</v>
      </c>
      <c r="F7" s="10">
        <f>Deudas_Varios!F13</f>
        <v>-640000</v>
      </c>
      <c r="G7" s="10">
        <f>Deudas_Varios!G13</f>
        <v>-380000</v>
      </c>
      <c r="H7" s="10">
        <f>Deudas_Varios!H13</f>
        <v>-380000</v>
      </c>
      <c r="I7" s="10">
        <f>Deudas_Varios!I13</f>
        <v>-402860</v>
      </c>
      <c r="J7" s="10">
        <f>Deudas_Varios!J13</f>
        <v>-402860</v>
      </c>
      <c r="K7" s="10">
        <f>Deudas_Varios!K13</f>
        <v>-37860</v>
      </c>
      <c r="L7" s="10">
        <f>Deudas_Varios!L13</f>
        <v>-467000</v>
      </c>
      <c r="M7" s="10">
        <f>Deudas_Varios!M13</f>
        <v>-469000</v>
      </c>
      <c r="N7" s="10">
        <f>Deudas_Varios!N13</f>
        <v>-470000</v>
      </c>
      <c r="O7" s="10">
        <f>Deudas_Varios!O13</f>
        <v>-505000</v>
      </c>
      <c r="P7" s="10">
        <f>Deudas_Varios!P13</f>
        <v>-505000</v>
      </c>
      <c r="Q7" s="10">
        <f>Deudas_Varios!Q13</f>
        <v>-590000</v>
      </c>
      <c r="R7" s="10">
        <f>Deudas_Varios!R13</f>
        <v>130000</v>
      </c>
      <c r="S7" s="10">
        <f>Deudas_Varios!S13</f>
        <v>-620000</v>
      </c>
      <c r="T7" s="10">
        <f>Deudas_Varios!T13</f>
        <v>-620000</v>
      </c>
      <c r="U7" s="10">
        <f>Deudas_Varios!U13</f>
        <v>-640000</v>
      </c>
      <c r="V7" s="10">
        <f>Deudas_Varios!V13</f>
        <v>-640000</v>
      </c>
      <c r="W7" s="10">
        <f>Deudas_Varios!W13</f>
        <v>-570000</v>
      </c>
      <c r="X7" s="10">
        <f>Deudas_Varios!X13</f>
        <v>648000</v>
      </c>
      <c r="Y7" s="10">
        <f>Deudas_Varios!Y13</f>
        <v>0</v>
      </c>
      <c r="Z7" s="10">
        <f>Deudas_Varios!Z13</f>
        <v>-350000</v>
      </c>
      <c r="AA7" s="10">
        <f>Deudas_Varios!AA13</f>
        <v>0</v>
      </c>
      <c r="AB7" s="10">
        <f>Deudas_Varios!AB13</f>
        <v>0</v>
      </c>
      <c r="AC7" s="10">
        <f>Deudas_Varios!AC13</f>
        <v>0</v>
      </c>
      <c r="AD7" s="10">
        <f>Deudas_Varios!AD13</f>
        <v>0</v>
      </c>
      <c r="AE7" s="10">
        <f>Deudas_Varios!AE13</f>
        <v>0</v>
      </c>
      <c r="AF7" s="10">
        <f>Deudas_Varios!AF13</f>
        <v>0</v>
      </c>
      <c r="AG7" s="10">
        <f>Deudas_Varios!AG13</f>
        <v>0</v>
      </c>
      <c r="AH7" s="10">
        <f>Deudas_Varios!AH13</f>
        <v>0</v>
      </c>
      <c r="AI7" s="10">
        <f>Deudas_Varios!AI13</f>
        <v>0</v>
      </c>
      <c r="AJ7" s="10">
        <f>Deudas_Varios!AJ13</f>
        <v>0</v>
      </c>
      <c r="AK7" s="10">
        <f>Deudas_Varios!AK13</f>
        <v>0</v>
      </c>
      <c r="AL7" s="10">
        <f>Deudas_Varios!AL13</f>
        <v>0</v>
      </c>
      <c r="AM7" s="10">
        <f>Deudas_Varios!AM13</f>
        <v>0</v>
      </c>
      <c r="AN7" s="10">
        <f>Deudas_Varios!AN13</f>
        <v>0</v>
      </c>
      <c r="AO7" s="10">
        <f>Deudas_Varios!AO13</f>
        <v>0</v>
      </c>
      <c r="AP7" s="10">
        <f>Deudas_Varios!AP13</f>
        <v>0</v>
      </c>
      <c r="AQ7" s="10">
        <f>Deudas_Varios!AQ13</f>
        <v>0</v>
      </c>
      <c r="AR7" s="10">
        <f>Deudas_Varios!AR13</f>
        <v>0</v>
      </c>
      <c r="AS7" s="10">
        <f>Deudas_Varios!AS13</f>
        <v>0</v>
      </c>
    </row>
    <row r="8" spans="1:45">
      <c r="A8" s="11" t="s">
        <v>53</v>
      </c>
      <c r="B8" s="12">
        <f t="shared" ref="B8:AS8" si="0">SUM(B4:B7)</f>
        <v>-2307584.0099999998</v>
      </c>
      <c r="C8" s="12">
        <f t="shared" si="0"/>
        <v>-1341061.69</v>
      </c>
      <c r="D8" s="12">
        <f t="shared" si="0"/>
        <v>-2287461.69</v>
      </c>
      <c r="E8" s="12">
        <f t="shared" si="0"/>
        <v>-2713870</v>
      </c>
      <c r="F8" s="12">
        <f t="shared" si="0"/>
        <v>-3040870</v>
      </c>
      <c r="G8" s="12">
        <f t="shared" si="0"/>
        <v>-3418070</v>
      </c>
      <c r="H8" s="12">
        <f t="shared" si="0"/>
        <v>-7570077</v>
      </c>
      <c r="I8" s="12">
        <f t="shared" si="0"/>
        <v>-2752060</v>
      </c>
      <c r="J8" s="12">
        <f t="shared" si="0"/>
        <v>-3556160</v>
      </c>
      <c r="K8" s="12">
        <f t="shared" si="0"/>
        <v>-3099360</v>
      </c>
      <c r="L8" s="12">
        <f t="shared" si="0"/>
        <v>-1968000</v>
      </c>
      <c r="M8" s="12">
        <f t="shared" si="0"/>
        <v>-1899600</v>
      </c>
      <c r="N8" s="12">
        <f t="shared" si="0"/>
        <v>-2065804</v>
      </c>
      <c r="O8" s="12">
        <f t="shared" si="0"/>
        <v>-1422601.26</v>
      </c>
      <c r="P8" s="12">
        <f t="shared" si="0"/>
        <v>-1702601.26</v>
      </c>
      <c r="Q8" s="12">
        <f t="shared" si="0"/>
        <v>-1993481.26</v>
      </c>
      <c r="R8" s="12">
        <f t="shared" si="0"/>
        <v>-1990481.2599999998</v>
      </c>
      <c r="S8" s="12">
        <f t="shared" si="0"/>
        <v>-2160481.2599999998</v>
      </c>
      <c r="T8" s="12">
        <f t="shared" si="0"/>
        <v>-1330481.26</v>
      </c>
      <c r="U8" s="12">
        <f t="shared" si="0"/>
        <v>-1350481.26</v>
      </c>
      <c r="V8" s="12">
        <f t="shared" si="0"/>
        <v>-1350481.26</v>
      </c>
      <c r="W8" s="12">
        <f t="shared" si="0"/>
        <v>-1280481.26</v>
      </c>
      <c r="X8" s="12">
        <f t="shared" si="0"/>
        <v>103398.73999999999</v>
      </c>
      <c r="Y8" s="12">
        <f t="shared" si="0"/>
        <v>-139000</v>
      </c>
      <c r="Z8" s="12">
        <f t="shared" si="0"/>
        <v>-489000</v>
      </c>
      <c r="AA8" s="12">
        <f t="shared" si="0"/>
        <v>-139000</v>
      </c>
      <c r="AB8" s="12">
        <f t="shared" si="0"/>
        <v>-139000</v>
      </c>
      <c r="AC8" s="12">
        <f t="shared" si="0"/>
        <v>-139000</v>
      </c>
      <c r="AD8" s="12">
        <f t="shared" si="0"/>
        <v>-139000</v>
      </c>
      <c r="AE8" s="12">
        <f t="shared" si="0"/>
        <v>-139000</v>
      </c>
      <c r="AF8" s="12">
        <f t="shared" si="0"/>
        <v>-139000</v>
      </c>
      <c r="AG8" s="12">
        <f t="shared" si="0"/>
        <v>-139000</v>
      </c>
      <c r="AH8" s="12">
        <f t="shared" si="0"/>
        <v>-139000</v>
      </c>
      <c r="AI8" s="12">
        <f t="shared" si="0"/>
        <v>-139000</v>
      </c>
      <c r="AJ8" s="12">
        <f t="shared" si="0"/>
        <v>0</v>
      </c>
      <c r="AK8" s="12">
        <f t="shared" si="0"/>
        <v>0</v>
      </c>
      <c r="AL8" s="12">
        <f t="shared" si="0"/>
        <v>0</v>
      </c>
      <c r="AM8" s="12">
        <f t="shared" si="0"/>
        <v>0</v>
      </c>
      <c r="AN8" s="12">
        <f t="shared" si="0"/>
        <v>0</v>
      </c>
      <c r="AO8" s="12">
        <f t="shared" si="0"/>
        <v>0</v>
      </c>
      <c r="AP8" s="12">
        <f t="shared" si="0"/>
        <v>0</v>
      </c>
      <c r="AQ8" s="12">
        <f t="shared" si="0"/>
        <v>0</v>
      </c>
      <c r="AR8" s="12">
        <f t="shared" si="0"/>
        <v>0</v>
      </c>
      <c r="AS8" s="12">
        <f t="shared" si="0"/>
        <v>0</v>
      </c>
    </row>
    <row r="9" spans="1:45" ht="19.5" customHeight="1">
      <c r="A9" s="32" t="s">
        <v>54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</row>
    <row r="10" spans="1:45" ht="18" customHeight="1">
      <c r="A10" s="13" t="s">
        <v>55</v>
      </c>
      <c r="B10" s="6">
        <v>1100000</v>
      </c>
      <c r="C10" s="6">
        <v>1100000</v>
      </c>
      <c r="D10" s="6">
        <v>1100000</v>
      </c>
      <c r="E10" s="6">
        <v>1200000</v>
      </c>
      <c r="F10" s="6">
        <v>1200000</v>
      </c>
      <c r="G10" s="6">
        <v>1200000</v>
      </c>
      <c r="H10" s="6">
        <v>1160000</v>
      </c>
      <c r="I10" s="6">
        <v>1170000</v>
      </c>
      <c r="J10" s="6">
        <v>1250000</v>
      </c>
      <c r="K10" s="6">
        <v>1200000</v>
      </c>
      <c r="L10" s="6">
        <v>1250000</v>
      </c>
      <c r="M10" s="6">
        <v>1432000</v>
      </c>
      <c r="N10" s="6">
        <v>1350000</v>
      </c>
      <c r="O10" s="6">
        <v>1450000</v>
      </c>
      <c r="P10" s="6">
        <v>1400000</v>
      </c>
      <c r="Q10" s="6">
        <v>1620000</v>
      </c>
      <c r="R10" s="6">
        <v>1400000</v>
      </c>
      <c r="S10" s="6">
        <v>1430000</v>
      </c>
      <c r="T10" s="6">
        <v>1430000</v>
      </c>
      <c r="U10" s="6">
        <v>1430000</v>
      </c>
      <c r="V10" s="6">
        <v>1430000</v>
      </c>
      <c r="W10" s="6">
        <v>1430000</v>
      </c>
      <c r="X10" s="6">
        <v>1430000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  <c r="AN10" s="6">
        <v>0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</row>
    <row r="11" spans="1:45" ht="18" customHeight="1">
      <c r="A11" s="13" t="s">
        <v>56</v>
      </c>
      <c r="B11" s="6">
        <v>0</v>
      </c>
      <c r="C11" s="6">
        <v>0</v>
      </c>
      <c r="D11" s="6">
        <v>0</v>
      </c>
      <c r="E11" s="6">
        <v>30000</v>
      </c>
      <c r="F11" s="6">
        <v>30000</v>
      </c>
      <c r="G11" s="6">
        <v>0</v>
      </c>
      <c r="H11" s="6">
        <v>50000</v>
      </c>
      <c r="I11" s="6">
        <v>100000</v>
      </c>
      <c r="J11" s="6">
        <v>0</v>
      </c>
      <c r="K11" s="6">
        <v>0</v>
      </c>
      <c r="L11" s="6">
        <v>320000</v>
      </c>
      <c r="M11" s="6">
        <v>960000</v>
      </c>
      <c r="N11" s="6">
        <v>1400000</v>
      </c>
      <c r="O11" s="6">
        <v>0</v>
      </c>
      <c r="P11" s="6">
        <v>0</v>
      </c>
      <c r="Q11" s="6">
        <v>900000</v>
      </c>
      <c r="R11" s="6">
        <v>900000</v>
      </c>
      <c r="S11" s="6">
        <v>900000</v>
      </c>
      <c r="T11" s="6">
        <v>900000</v>
      </c>
      <c r="U11" s="6">
        <v>900000</v>
      </c>
      <c r="V11" s="6">
        <v>900000</v>
      </c>
      <c r="W11" s="6">
        <v>900000</v>
      </c>
      <c r="X11" s="6">
        <v>900000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</row>
    <row r="12" spans="1:45" ht="18" customHeight="1">
      <c r="A12" s="13" t="s">
        <v>57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6000000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</row>
    <row r="13" spans="1:45" ht="18" customHeight="1">
      <c r="A13" s="13" t="s">
        <v>58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</row>
    <row r="14" spans="1:45" ht="18" customHeight="1">
      <c r="A14" s="13" t="s">
        <v>59</v>
      </c>
      <c r="B14" s="6">
        <v>0</v>
      </c>
      <c r="C14" s="6">
        <v>0</v>
      </c>
      <c r="D14" s="6">
        <v>0</v>
      </c>
      <c r="E14" s="6">
        <v>0</v>
      </c>
      <c r="F14" s="6">
        <v>30000</v>
      </c>
      <c r="G14" s="6">
        <v>15000</v>
      </c>
      <c r="H14" s="6">
        <v>15000</v>
      </c>
      <c r="I14" s="6">
        <v>15000</v>
      </c>
      <c r="J14" s="6">
        <v>15000</v>
      </c>
      <c r="K14" s="6">
        <v>15000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</row>
    <row r="15" spans="1:45">
      <c r="A15" s="14" t="s">
        <v>60</v>
      </c>
      <c r="B15" s="15">
        <f t="shared" ref="B15:AS15" si="1">SUM(B10:B14)</f>
        <v>1100000</v>
      </c>
      <c r="C15" s="15">
        <f t="shared" si="1"/>
        <v>1100000</v>
      </c>
      <c r="D15" s="15">
        <f t="shared" si="1"/>
        <v>1100000</v>
      </c>
      <c r="E15" s="15">
        <f t="shared" si="1"/>
        <v>1230000</v>
      </c>
      <c r="F15" s="15">
        <f t="shared" si="1"/>
        <v>1260000</v>
      </c>
      <c r="G15" s="15">
        <f t="shared" si="1"/>
        <v>1215000</v>
      </c>
      <c r="H15" s="15">
        <f t="shared" si="1"/>
        <v>7225000</v>
      </c>
      <c r="I15" s="15">
        <f t="shared" si="1"/>
        <v>1285000</v>
      </c>
      <c r="J15" s="15">
        <f t="shared" si="1"/>
        <v>1265000</v>
      </c>
      <c r="K15" s="15">
        <f t="shared" si="1"/>
        <v>1215000</v>
      </c>
      <c r="L15" s="15">
        <f t="shared" si="1"/>
        <v>1570000</v>
      </c>
      <c r="M15" s="15">
        <f t="shared" si="1"/>
        <v>2392000</v>
      </c>
      <c r="N15" s="15">
        <f t="shared" si="1"/>
        <v>2750000</v>
      </c>
      <c r="O15" s="15">
        <f t="shared" si="1"/>
        <v>1450000</v>
      </c>
      <c r="P15" s="15">
        <f t="shared" si="1"/>
        <v>1400000</v>
      </c>
      <c r="Q15" s="15">
        <f t="shared" si="1"/>
        <v>2520000</v>
      </c>
      <c r="R15" s="15">
        <f t="shared" si="1"/>
        <v>2300000</v>
      </c>
      <c r="S15" s="15">
        <f t="shared" si="1"/>
        <v>2330000</v>
      </c>
      <c r="T15" s="15">
        <f t="shared" si="1"/>
        <v>2330000</v>
      </c>
      <c r="U15" s="15">
        <f t="shared" si="1"/>
        <v>2330000</v>
      </c>
      <c r="V15" s="15">
        <f t="shared" si="1"/>
        <v>2330000</v>
      </c>
      <c r="W15" s="15">
        <f t="shared" si="1"/>
        <v>2330000</v>
      </c>
      <c r="X15" s="15">
        <f t="shared" si="1"/>
        <v>2330000</v>
      </c>
      <c r="Y15" s="15">
        <f t="shared" si="1"/>
        <v>0</v>
      </c>
      <c r="Z15" s="15">
        <f t="shared" si="1"/>
        <v>0</v>
      </c>
      <c r="AA15" s="15">
        <f t="shared" si="1"/>
        <v>0</v>
      </c>
      <c r="AB15" s="15">
        <f t="shared" si="1"/>
        <v>0</v>
      </c>
      <c r="AC15" s="15">
        <f t="shared" si="1"/>
        <v>0</v>
      </c>
      <c r="AD15" s="15">
        <f t="shared" si="1"/>
        <v>0</v>
      </c>
      <c r="AE15" s="15">
        <f t="shared" si="1"/>
        <v>0</v>
      </c>
      <c r="AF15" s="15">
        <f t="shared" si="1"/>
        <v>0</v>
      </c>
      <c r="AG15" s="15">
        <f t="shared" si="1"/>
        <v>0</v>
      </c>
      <c r="AH15" s="15">
        <f t="shared" si="1"/>
        <v>0</v>
      </c>
      <c r="AI15" s="15">
        <f t="shared" si="1"/>
        <v>0</v>
      </c>
      <c r="AJ15" s="15">
        <f t="shared" si="1"/>
        <v>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 t="shared" si="1"/>
        <v>0</v>
      </c>
      <c r="AS15" s="15">
        <f t="shared" si="1"/>
        <v>0</v>
      </c>
    </row>
    <row r="16" spans="1:45" ht="21.75" customHeight="1">
      <c r="A16" s="16" t="s">
        <v>61</v>
      </c>
      <c r="B16" s="17">
        <f t="shared" ref="B16:AS16" si="2">B15+B8</f>
        <v>-1207584.0099999998</v>
      </c>
      <c r="C16" s="17">
        <f t="shared" si="2"/>
        <v>-241061.68999999994</v>
      </c>
      <c r="D16" s="17">
        <f t="shared" si="2"/>
        <v>-1187461.69</v>
      </c>
      <c r="E16" s="17">
        <f t="shared" si="2"/>
        <v>-1483870</v>
      </c>
      <c r="F16" s="17">
        <f t="shared" si="2"/>
        <v>-1780870</v>
      </c>
      <c r="G16" s="17">
        <f t="shared" si="2"/>
        <v>-2203070</v>
      </c>
      <c r="H16" s="17">
        <f t="shared" si="2"/>
        <v>-345077</v>
      </c>
      <c r="I16" s="17">
        <f t="shared" si="2"/>
        <v>-1467060</v>
      </c>
      <c r="J16" s="17">
        <f t="shared" si="2"/>
        <v>-2291160</v>
      </c>
      <c r="K16" s="17">
        <f t="shared" si="2"/>
        <v>-1884360</v>
      </c>
      <c r="L16" s="17">
        <f t="shared" si="2"/>
        <v>-398000</v>
      </c>
      <c r="M16" s="18">
        <f t="shared" si="2"/>
        <v>492400</v>
      </c>
      <c r="N16" s="18">
        <f t="shared" si="2"/>
        <v>684196</v>
      </c>
      <c r="O16" s="17">
        <f t="shared" si="2"/>
        <v>27398.739999999991</v>
      </c>
      <c r="P16" s="17">
        <f t="shared" si="2"/>
        <v>-302601.26</v>
      </c>
      <c r="Q16" s="18">
        <f t="shared" si="2"/>
        <v>526518.74</v>
      </c>
      <c r="R16" s="18">
        <f t="shared" si="2"/>
        <v>309518.74000000022</v>
      </c>
      <c r="S16" s="18">
        <f t="shared" si="2"/>
        <v>169518.74000000022</v>
      </c>
      <c r="T16" s="18">
        <f t="shared" si="2"/>
        <v>999518.74</v>
      </c>
      <c r="U16" s="18">
        <f t="shared" si="2"/>
        <v>979518.74</v>
      </c>
      <c r="V16" s="18">
        <f t="shared" si="2"/>
        <v>979518.74</v>
      </c>
      <c r="W16" s="18">
        <f t="shared" si="2"/>
        <v>1049518.74</v>
      </c>
      <c r="X16" s="18">
        <f t="shared" si="2"/>
        <v>2433398.7400000002</v>
      </c>
      <c r="Y16" s="17">
        <f t="shared" si="2"/>
        <v>-139000</v>
      </c>
      <c r="Z16" s="17">
        <f t="shared" si="2"/>
        <v>-489000</v>
      </c>
      <c r="AA16" s="17">
        <f t="shared" si="2"/>
        <v>-139000</v>
      </c>
      <c r="AB16" s="17">
        <f t="shared" si="2"/>
        <v>-139000</v>
      </c>
      <c r="AC16" s="17">
        <f t="shared" si="2"/>
        <v>-139000</v>
      </c>
      <c r="AD16" s="17">
        <f t="shared" si="2"/>
        <v>-139000</v>
      </c>
      <c r="AE16" s="17">
        <f t="shared" si="2"/>
        <v>-139000</v>
      </c>
      <c r="AF16" s="17">
        <f t="shared" si="2"/>
        <v>-139000</v>
      </c>
      <c r="AG16" s="17">
        <f t="shared" si="2"/>
        <v>-139000</v>
      </c>
      <c r="AH16" s="17">
        <f t="shared" si="2"/>
        <v>-139000</v>
      </c>
      <c r="AI16" s="17">
        <f t="shared" si="2"/>
        <v>-139000</v>
      </c>
      <c r="AJ16" s="18">
        <f t="shared" si="2"/>
        <v>0</v>
      </c>
      <c r="AK16" s="18">
        <f t="shared" si="2"/>
        <v>0</v>
      </c>
      <c r="AL16" s="18">
        <f t="shared" si="2"/>
        <v>0</v>
      </c>
      <c r="AM16" s="18">
        <f t="shared" si="2"/>
        <v>0</v>
      </c>
      <c r="AN16" s="18">
        <f t="shared" si="2"/>
        <v>0</v>
      </c>
      <c r="AO16" s="18">
        <f t="shared" si="2"/>
        <v>0</v>
      </c>
      <c r="AP16" s="18">
        <f t="shared" si="2"/>
        <v>0</v>
      </c>
      <c r="AQ16" s="18">
        <f t="shared" si="2"/>
        <v>0</v>
      </c>
      <c r="AR16" s="18">
        <f t="shared" si="2"/>
        <v>0</v>
      </c>
      <c r="AS16" s="18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3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R5" sqref="R5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1" t="s">
        <v>62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18" customHeight="1">
      <c r="A4" s="19" t="s">
        <v>63</v>
      </c>
      <c r="B4" s="4">
        <v>-1081714.01</v>
      </c>
      <c r="C4" s="4">
        <v>-751591.69</v>
      </c>
      <c r="D4" s="4">
        <v>-751591.69</v>
      </c>
      <c r="E4" s="4">
        <v>-1360000</v>
      </c>
      <c r="F4" s="4">
        <v>-1083000</v>
      </c>
      <c r="G4" s="4">
        <v>-1450000</v>
      </c>
      <c r="H4" s="4">
        <v>-1695000</v>
      </c>
      <c r="I4" s="4">
        <v>-1300000</v>
      </c>
      <c r="J4" s="4">
        <v>-1733000</v>
      </c>
      <c r="K4" s="4">
        <v>-1450000</v>
      </c>
      <c r="L4" s="4">
        <v>-400000</v>
      </c>
      <c r="M4" s="4">
        <v>-400000</v>
      </c>
      <c r="N4" s="4">
        <v>-400000</v>
      </c>
      <c r="O4" s="4">
        <v>-155000</v>
      </c>
      <c r="P4" s="4">
        <v>-370000</v>
      </c>
      <c r="Q4" s="4">
        <v>-528000</v>
      </c>
      <c r="R4" s="4">
        <v>-900000</v>
      </c>
      <c r="S4" s="4">
        <v>-600000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</row>
    <row r="5" spans="1:45" ht="18" customHeight="1">
      <c r="A5" s="19" t="s">
        <v>64</v>
      </c>
      <c r="B5" s="4">
        <v>-149000</v>
      </c>
      <c r="C5" s="4">
        <v>-149000</v>
      </c>
      <c r="D5" s="4">
        <v>-149000</v>
      </c>
      <c r="E5" s="4">
        <v>-149000</v>
      </c>
      <c r="F5" s="4">
        <v>-128000</v>
      </c>
      <c r="G5" s="4">
        <v>-474000</v>
      </c>
      <c r="H5" s="4">
        <v>-502000</v>
      </c>
      <c r="I5" s="4">
        <v>0</v>
      </c>
      <c r="J5" s="4">
        <v>-161000</v>
      </c>
      <c r="K5" s="4">
        <v>-161000</v>
      </c>
      <c r="L5" s="4">
        <v>-161000</v>
      </c>
      <c r="M5" s="4">
        <v>-161000</v>
      </c>
      <c r="N5" s="4">
        <v>-161000</v>
      </c>
      <c r="O5" s="4">
        <v>-161000</v>
      </c>
      <c r="P5" s="4">
        <v>-161000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</row>
    <row r="6" spans="1:45" ht="18" customHeight="1">
      <c r="A6" s="19" t="s">
        <v>65</v>
      </c>
      <c r="B6" s="4">
        <v>-202870</v>
      </c>
      <c r="C6" s="4">
        <v>-202870</v>
      </c>
      <c r="D6" s="4">
        <v>-202870</v>
      </c>
      <c r="E6" s="4">
        <v>-202870</v>
      </c>
      <c r="F6" s="4">
        <v>-202870</v>
      </c>
      <c r="G6" s="4">
        <v>-202870</v>
      </c>
      <c r="H6" s="4">
        <v>-3862277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</row>
    <row r="7" spans="1:45" ht="18" customHeight="1">
      <c r="A7" s="19" t="s">
        <v>66</v>
      </c>
      <c r="B7" s="4">
        <v>0</v>
      </c>
      <c r="C7" s="4">
        <v>-83000</v>
      </c>
      <c r="D7" s="4">
        <v>-83000</v>
      </c>
      <c r="E7" s="4">
        <v>-83000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</row>
    <row r="8" spans="1:45" ht="18" customHeight="1">
      <c r="A8" s="19" t="s">
        <v>67</v>
      </c>
      <c r="B8" s="4">
        <v>-840000</v>
      </c>
      <c r="C8" s="4">
        <v>-120600</v>
      </c>
      <c r="D8" s="4">
        <v>-1067000</v>
      </c>
      <c r="E8" s="4">
        <v>-895000</v>
      </c>
      <c r="F8" s="4">
        <v>-740000</v>
      </c>
      <c r="G8" s="4">
        <v>-680000</v>
      </c>
      <c r="H8" s="4">
        <v>-700000</v>
      </c>
      <c r="I8" s="4">
        <v>-560000</v>
      </c>
      <c r="J8" s="4">
        <v>-850000</v>
      </c>
      <c r="K8" s="4">
        <v>-1000000</v>
      </c>
      <c r="L8" s="4">
        <v>-600000</v>
      </c>
      <c r="M8" s="4">
        <v>-127000</v>
      </c>
      <c r="N8" s="4">
        <v>-193000</v>
      </c>
      <c r="O8" s="4">
        <v>-139000</v>
      </c>
      <c r="P8" s="4">
        <v>-139000</v>
      </c>
      <c r="Q8" s="4">
        <v>-139000</v>
      </c>
      <c r="R8" s="4">
        <v>-139000</v>
      </c>
      <c r="S8" s="4">
        <v>-139000</v>
      </c>
      <c r="T8" s="4">
        <v>-139000</v>
      </c>
      <c r="U8" s="4">
        <v>-139000</v>
      </c>
      <c r="V8" s="4">
        <v>-139000</v>
      </c>
      <c r="W8" s="4">
        <v>-139000</v>
      </c>
      <c r="X8" s="4">
        <v>-139000</v>
      </c>
      <c r="Y8" s="4">
        <v>-139000</v>
      </c>
      <c r="Z8" s="4">
        <v>-139000</v>
      </c>
      <c r="AA8" s="4">
        <v>-139000</v>
      </c>
      <c r="AB8" s="4">
        <v>-139000</v>
      </c>
      <c r="AC8" s="4">
        <v>-139000</v>
      </c>
      <c r="AD8" s="4">
        <v>-139000</v>
      </c>
      <c r="AE8" s="4">
        <v>-139000</v>
      </c>
      <c r="AF8" s="4">
        <v>-139000</v>
      </c>
      <c r="AG8" s="4">
        <v>-139000</v>
      </c>
      <c r="AH8" s="4">
        <v>-139000</v>
      </c>
      <c r="AI8" s="4">
        <v>-139000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</row>
    <row r="9" spans="1:45" ht="18" customHeight="1">
      <c r="A9" s="19" t="s">
        <v>68</v>
      </c>
      <c r="B9" s="4">
        <v>-34000</v>
      </c>
      <c r="C9" s="4">
        <v>-34000</v>
      </c>
      <c r="D9" s="4">
        <v>-34000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</row>
    <row r="10" spans="1:45" ht="18" customHeight="1">
      <c r="A10" s="19" t="s">
        <v>69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-250000</v>
      </c>
      <c r="N10" s="4">
        <v>-170000</v>
      </c>
      <c r="O10" s="4">
        <v>-70000</v>
      </c>
      <c r="P10" s="4">
        <v>-137000</v>
      </c>
      <c r="Q10" s="4">
        <v>-160000</v>
      </c>
      <c r="R10" s="4">
        <v>-400000</v>
      </c>
      <c r="S10" s="4">
        <v>-200000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</row>
    <row r="11" spans="1:45" ht="18" customHeight="1">
      <c r="A11" s="19" t="s">
        <v>70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-200000</v>
      </c>
      <c r="O11" s="4">
        <v>-50000</v>
      </c>
      <c r="P11" s="4">
        <v>-37000</v>
      </c>
      <c r="Q11" s="4">
        <v>0</v>
      </c>
      <c r="R11" s="4">
        <v>-140000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</row>
    <row r="12" spans="1:45" ht="18" customHeight="1">
      <c r="A12" s="19" t="s">
        <v>71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-70000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</row>
    <row r="13" spans="1:45">
      <c r="A13" s="20" t="s">
        <v>72</v>
      </c>
      <c r="B13" s="21">
        <f t="shared" ref="B13:AS13" si="0">SUM(B4:B12)</f>
        <v>-2307584.0099999998</v>
      </c>
      <c r="C13" s="21">
        <f t="shared" si="0"/>
        <v>-1341061.69</v>
      </c>
      <c r="D13" s="21">
        <f t="shared" si="0"/>
        <v>-2287461.69</v>
      </c>
      <c r="E13" s="21">
        <f t="shared" si="0"/>
        <v>-2689870</v>
      </c>
      <c r="F13" s="21">
        <f t="shared" si="0"/>
        <v>-2153870</v>
      </c>
      <c r="G13" s="21">
        <f t="shared" si="0"/>
        <v>-2806870</v>
      </c>
      <c r="H13" s="21">
        <f t="shared" si="0"/>
        <v>-6759277</v>
      </c>
      <c r="I13" s="21">
        <f t="shared" si="0"/>
        <v>-1860000</v>
      </c>
      <c r="J13" s="21">
        <f t="shared" si="0"/>
        <v>-2744000</v>
      </c>
      <c r="K13" s="21">
        <f t="shared" si="0"/>
        <v>-2611000</v>
      </c>
      <c r="L13" s="21">
        <f t="shared" si="0"/>
        <v>-1161000</v>
      </c>
      <c r="M13" s="21">
        <f t="shared" si="0"/>
        <v>-938000</v>
      </c>
      <c r="N13" s="21">
        <f t="shared" si="0"/>
        <v>-1124000</v>
      </c>
      <c r="O13" s="21">
        <f t="shared" si="0"/>
        <v>-575000</v>
      </c>
      <c r="P13" s="21">
        <f t="shared" si="0"/>
        <v>-844000</v>
      </c>
      <c r="Q13" s="21">
        <f t="shared" si="0"/>
        <v>-897000</v>
      </c>
      <c r="R13" s="21">
        <f t="shared" si="0"/>
        <v>-1579000</v>
      </c>
      <c r="S13" s="21">
        <f t="shared" si="0"/>
        <v>-939000</v>
      </c>
      <c r="T13" s="21">
        <f t="shared" si="0"/>
        <v>-139000</v>
      </c>
      <c r="U13" s="21">
        <f t="shared" si="0"/>
        <v>-139000</v>
      </c>
      <c r="V13" s="21">
        <f t="shared" si="0"/>
        <v>-139000</v>
      </c>
      <c r="W13" s="21">
        <f t="shared" si="0"/>
        <v>-139000</v>
      </c>
      <c r="X13" s="21">
        <f t="shared" si="0"/>
        <v>-139000</v>
      </c>
      <c r="Y13" s="21">
        <f t="shared" si="0"/>
        <v>-139000</v>
      </c>
      <c r="Z13" s="21">
        <f t="shared" si="0"/>
        <v>-139000</v>
      </c>
      <c r="AA13" s="21">
        <f t="shared" si="0"/>
        <v>-139000</v>
      </c>
      <c r="AB13" s="21">
        <f t="shared" si="0"/>
        <v>-139000</v>
      </c>
      <c r="AC13" s="21">
        <f t="shared" si="0"/>
        <v>-139000</v>
      </c>
      <c r="AD13" s="21">
        <f t="shared" si="0"/>
        <v>-139000</v>
      </c>
      <c r="AE13" s="21">
        <f t="shared" si="0"/>
        <v>-139000</v>
      </c>
      <c r="AF13" s="21">
        <f t="shared" si="0"/>
        <v>-139000</v>
      </c>
      <c r="AG13" s="21">
        <f t="shared" si="0"/>
        <v>-139000</v>
      </c>
      <c r="AH13" s="21">
        <f t="shared" si="0"/>
        <v>-139000</v>
      </c>
      <c r="AI13" s="21">
        <f t="shared" si="0"/>
        <v>-139000</v>
      </c>
      <c r="AJ13" s="21">
        <f t="shared" si="0"/>
        <v>0</v>
      </c>
      <c r="AK13" s="21">
        <f t="shared" si="0"/>
        <v>0</v>
      </c>
      <c r="AL13" s="21">
        <f t="shared" si="0"/>
        <v>0</v>
      </c>
      <c r="AM13" s="21">
        <f t="shared" si="0"/>
        <v>0</v>
      </c>
      <c r="AN13" s="21">
        <f t="shared" si="0"/>
        <v>0</v>
      </c>
      <c r="AO13" s="21">
        <f t="shared" si="0"/>
        <v>0</v>
      </c>
      <c r="AP13" s="21">
        <f t="shared" si="0"/>
        <v>0</v>
      </c>
      <c r="AQ13" s="21">
        <f t="shared" si="0"/>
        <v>0</v>
      </c>
      <c r="AR13" s="21">
        <f t="shared" si="0"/>
        <v>0</v>
      </c>
      <c r="AS13" s="21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10"/>
  <sheetViews>
    <sheetView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U18" sqref="U18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2" t="s">
        <v>73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</row>
    <row r="4" spans="1:45" ht="18" customHeight="1">
      <c r="A4" s="13" t="s">
        <v>74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</row>
    <row r="5" spans="1:45" ht="18" customHeight="1">
      <c r="A5" s="13" t="s">
        <v>75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-30000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  <c r="AN5" s="6">
        <v>0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</row>
    <row r="6" spans="1:45" ht="18" customHeight="1">
      <c r="A6" s="13" t="s">
        <v>76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-35000</v>
      </c>
      <c r="J6" s="6">
        <v>0</v>
      </c>
      <c r="K6" s="6">
        <v>0</v>
      </c>
      <c r="L6" s="6">
        <v>0</v>
      </c>
      <c r="M6" s="6">
        <v>-39000</v>
      </c>
      <c r="N6" s="6">
        <v>-39000</v>
      </c>
      <c r="O6" s="6">
        <v>0</v>
      </c>
      <c r="P6" s="6">
        <v>0</v>
      </c>
      <c r="Q6" s="6">
        <v>0</v>
      </c>
      <c r="R6" s="6">
        <v>0</v>
      </c>
      <c r="S6" s="6"/>
      <c r="T6" s="6"/>
      <c r="U6" s="6"/>
      <c r="V6" s="6"/>
      <c r="W6" s="6"/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</row>
    <row r="7" spans="1:45" ht="18" customHeight="1">
      <c r="A7" s="13" t="s">
        <v>77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-35000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</row>
    <row r="8" spans="1:45" ht="18" customHeight="1">
      <c r="A8" s="13" t="s">
        <v>78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</row>
    <row r="9" spans="1:45" ht="18" customHeight="1">
      <c r="A9" s="13" t="s">
        <v>79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-180000</v>
      </c>
      <c r="R9" s="6">
        <v>-180000</v>
      </c>
      <c r="S9" s="6">
        <v>-180000</v>
      </c>
      <c r="T9" s="6">
        <v>-180000</v>
      </c>
      <c r="U9" s="6">
        <v>-180000</v>
      </c>
      <c r="V9" s="6">
        <v>-180000</v>
      </c>
      <c r="W9" s="6">
        <v>-180000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</row>
    <row r="10" spans="1:45">
      <c r="A10" s="22" t="s">
        <v>72</v>
      </c>
      <c r="B10" s="23">
        <f t="shared" ref="B10:AS10" si="0">SUM(B4:B9)</f>
        <v>0</v>
      </c>
      <c r="C10" s="23">
        <f t="shared" si="0"/>
        <v>0</v>
      </c>
      <c r="D10" s="23">
        <f t="shared" si="0"/>
        <v>0</v>
      </c>
      <c r="E10" s="23">
        <f t="shared" si="0"/>
        <v>0</v>
      </c>
      <c r="F10" s="23">
        <f t="shared" si="0"/>
        <v>0</v>
      </c>
      <c r="G10" s="23">
        <f t="shared" si="0"/>
        <v>0</v>
      </c>
      <c r="H10" s="23">
        <f t="shared" si="0"/>
        <v>0</v>
      </c>
      <c r="I10" s="23">
        <f t="shared" si="0"/>
        <v>-70000</v>
      </c>
      <c r="J10" s="23">
        <f t="shared" si="0"/>
        <v>0</v>
      </c>
      <c r="K10" s="23">
        <f t="shared" si="0"/>
        <v>0</v>
      </c>
      <c r="L10" s="23">
        <f t="shared" si="0"/>
        <v>0</v>
      </c>
      <c r="M10" s="23">
        <f t="shared" si="0"/>
        <v>-39000</v>
      </c>
      <c r="N10" s="23">
        <f t="shared" si="0"/>
        <v>-39000</v>
      </c>
      <c r="O10" s="23">
        <f t="shared" si="0"/>
        <v>0</v>
      </c>
      <c r="P10" s="23">
        <f t="shared" si="0"/>
        <v>0</v>
      </c>
      <c r="Q10" s="23">
        <f t="shared" si="0"/>
        <v>-180000</v>
      </c>
      <c r="R10" s="23">
        <f t="shared" si="0"/>
        <v>-180000</v>
      </c>
      <c r="S10" s="23">
        <f t="shared" si="0"/>
        <v>-210000</v>
      </c>
      <c r="T10" s="23">
        <f t="shared" si="0"/>
        <v>-180000</v>
      </c>
      <c r="U10" s="23">
        <f t="shared" si="0"/>
        <v>-180000</v>
      </c>
      <c r="V10" s="23">
        <f t="shared" si="0"/>
        <v>-180000</v>
      </c>
      <c r="W10" s="23">
        <f t="shared" si="0"/>
        <v>-180000</v>
      </c>
      <c r="X10" s="23">
        <f t="shared" si="0"/>
        <v>0</v>
      </c>
      <c r="Y10" s="23">
        <f t="shared" si="0"/>
        <v>0</v>
      </c>
      <c r="Z10" s="23">
        <f t="shared" si="0"/>
        <v>0</v>
      </c>
      <c r="AA10" s="23">
        <f t="shared" si="0"/>
        <v>0</v>
      </c>
      <c r="AB10" s="23">
        <f t="shared" si="0"/>
        <v>0</v>
      </c>
      <c r="AC10" s="23">
        <f t="shared" si="0"/>
        <v>0</v>
      </c>
      <c r="AD10" s="23">
        <f t="shared" si="0"/>
        <v>0</v>
      </c>
      <c r="AE10" s="23">
        <f t="shared" si="0"/>
        <v>0</v>
      </c>
      <c r="AF10" s="23">
        <f t="shared" si="0"/>
        <v>0</v>
      </c>
      <c r="AG10" s="23">
        <f t="shared" si="0"/>
        <v>0</v>
      </c>
      <c r="AH10" s="23">
        <f t="shared" si="0"/>
        <v>0</v>
      </c>
      <c r="AI10" s="23">
        <f t="shared" si="0"/>
        <v>0</v>
      </c>
      <c r="AJ10" s="23">
        <f t="shared" si="0"/>
        <v>0</v>
      </c>
      <c r="AK10" s="23">
        <f t="shared" si="0"/>
        <v>0</v>
      </c>
      <c r="AL10" s="23">
        <f t="shared" si="0"/>
        <v>0</v>
      </c>
      <c r="AM10" s="23">
        <f t="shared" si="0"/>
        <v>0</v>
      </c>
      <c r="AN10" s="23">
        <f t="shared" si="0"/>
        <v>0</v>
      </c>
      <c r="AO10" s="23">
        <f t="shared" si="0"/>
        <v>0</v>
      </c>
      <c r="AP10" s="23">
        <f t="shared" si="0"/>
        <v>0</v>
      </c>
      <c r="AQ10" s="23">
        <f t="shared" si="0"/>
        <v>0</v>
      </c>
      <c r="AR10" s="23">
        <f t="shared" si="0"/>
        <v>0</v>
      </c>
      <c r="AS10" s="23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11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S14" sqref="S14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3" t="s">
        <v>80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</row>
    <row r="4" spans="1:45" ht="18" customHeight="1">
      <c r="A4" s="24" t="s">
        <v>81</v>
      </c>
      <c r="B4" s="8">
        <v>0</v>
      </c>
      <c r="C4" s="8">
        <v>0</v>
      </c>
      <c r="D4" s="8">
        <v>0</v>
      </c>
      <c r="E4" s="8">
        <v>-24000</v>
      </c>
      <c r="F4" s="8">
        <v>-24000</v>
      </c>
      <c r="G4" s="8">
        <v>-31200</v>
      </c>
      <c r="H4" s="8">
        <v>-58500</v>
      </c>
      <c r="I4" s="8">
        <v>-31200</v>
      </c>
      <c r="J4" s="8">
        <v>-31200</v>
      </c>
      <c r="K4" s="8">
        <v>-32500</v>
      </c>
      <c r="L4" s="8">
        <v>-35000</v>
      </c>
      <c r="M4" s="8">
        <v>-35000</v>
      </c>
      <c r="N4" s="8">
        <v>-35000</v>
      </c>
      <c r="O4" s="8">
        <v>-35000</v>
      </c>
      <c r="P4" s="8">
        <v>-35000</v>
      </c>
      <c r="Q4" s="8">
        <v>0</v>
      </c>
      <c r="R4" s="8">
        <v>-35000</v>
      </c>
      <c r="S4" s="8">
        <v>-35000</v>
      </c>
      <c r="T4" s="8">
        <v>-35000</v>
      </c>
      <c r="U4" s="8">
        <v>-35000</v>
      </c>
      <c r="V4" s="8">
        <v>-35000</v>
      </c>
      <c r="W4" s="8">
        <v>-35000</v>
      </c>
      <c r="X4" s="8">
        <v>-35000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</row>
    <row r="5" spans="1:45" ht="18" customHeight="1">
      <c r="A5" s="24" t="s">
        <v>82</v>
      </c>
      <c r="B5" s="8">
        <v>0</v>
      </c>
      <c r="C5" s="8">
        <v>0</v>
      </c>
      <c r="D5" s="8">
        <v>0</v>
      </c>
      <c r="E5" s="8">
        <v>0</v>
      </c>
      <c r="F5" s="8">
        <v>-223000</v>
      </c>
      <c r="G5" s="8">
        <v>-200000</v>
      </c>
      <c r="H5" s="8">
        <v>-161000</v>
      </c>
      <c r="I5" s="8">
        <v>-200000</v>
      </c>
      <c r="J5" s="8">
        <v>-206100</v>
      </c>
      <c r="K5" s="8">
        <v>-200000</v>
      </c>
      <c r="L5" s="8">
        <v>-200000</v>
      </c>
      <c r="M5" s="8">
        <v>-220000</v>
      </c>
      <c r="N5" s="8">
        <v>-220000</v>
      </c>
      <c r="O5" s="8">
        <v>-170000</v>
      </c>
      <c r="P5" s="8">
        <v>-170000</v>
      </c>
      <c r="Q5" s="8">
        <v>-170000</v>
      </c>
      <c r="R5" s="8">
        <v>-170000</v>
      </c>
      <c r="S5" s="8">
        <v>-200000</v>
      </c>
      <c r="T5" s="8">
        <v>-200000</v>
      </c>
      <c r="U5" s="8">
        <v>-200000</v>
      </c>
      <c r="V5" s="8">
        <v>-200000</v>
      </c>
      <c r="W5" s="8">
        <v>-200000</v>
      </c>
      <c r="X5" s="8">
        <v>-220000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5" ht="18" customHeight="1">
      <c r="A6" s="24" t="s">
        <v>83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-136300</v>
      </c>
      <c r="I6" s="8">
        <v>-97000</v>
      </c>
      <c r="J6" s="8">
        <v>-79000</v>
      </c>
      <c r="K6" s="8">
        <v>-100000</v>
      </c>
      <c r="L6" s="8">
        <v>-87000</v>
      </c>
      <c r="M6" s="8">
        <v>-89000</v>
      </c>
      <c r="N6" s="8">
        <v>-100000</v>
      </c>
      <c r="O6" s="8">
        <v>-98000</v>
      </c>
      <c r="P6" s="8">
        <v>-109000</v>
      </c>
      <c r="Q6" s="8">
        <v>-110000</v>
      </c>
      <c r="R6" s="8">
        <v>-110000</v>
      </c>
      <c r="S6" s="8">
        <v>-110000</v>
      </c>
      <c r="T6" s="8">
        <v>-110000</v>
      </c>
      <c r="U6" s="8">
        <v>-110000</v>
      </c>
      <c r="V6" s="8">
        <v>-110000</v>
      </c>
      <c r="W6" s="8">
        <v>-110000</v>
      </c>
      <c r="X6" s="8">
        <v>-110000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5" ht="18" customHeight="1">
      <c r="A7" s="24" t="s">
        <v>84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-75000</v>
      </c>
      <c r="I7" s="8">
        <v>-70000</v>
      </c>
      <c r="J7" s="8">
        <v>-75000</v>
      </c>
      <c r="K7" s="8">
        <v>-100000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</row>
    <row r="8" spans="1:45" ht="18" customHeight="1">
      <c r="A8" s="24" t="s">
        <v>85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-21000</v>
      </c>
      <c r="J8" s="8">
        <v>-18000</v>
      </c>
      <c r="K8" s="8">
        <v>-18000</v>
      </c>
      <c r="L8" s="8">
        <v>-18000</v>
      </c>
      <c r="M8" s="8">
        <v>-20000</v>
      </c>
      <c r="N8" s="8">
        <v>-22000</v>
      </c>
      <c r="O8" s="8">
        <v>-21000</v>
      </c>
      <c r="P8" s="8">
        <v>-21000</v>
      </c>
      <c r="Q8" s="8">
        <v>-27880</v>
      </c>
      <c r="R8" s="8">
        <v>-27880</v>
      </c>
      <c r="S8" s="8">
        <v>-27880</v>
      </c>
      <c r="T8" s="8">
        <v>-27880</v>
      </c>
      <c r="U8" s="8">
        <v>-27880</v>
      </c>
      <c r="V8" s="8">
        <v>-27880</v>
      </c>
      <c r="W8" s="8">
        <v>-27880</v>
      </c>
      <c r="X8" s="8">
        <v>-22000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</row>
    <row r="9" spans="1:45" ht="18" customHeight="1">
      <c r="A9" s="24" t="s">
        <v>86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-89600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</row>
    <row r="10" spans="1:45" ht="18" customHeight="1">
      <c r="A10" s="24" t="s">
        <v>87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-55804</v>
      </c>
      <c r="O10" s="8">
        <v>-18601.259999999998</v>
      </c>
      <c r="P10" s="8">
        <v>-18601.259999999998</v>
      </c>
      <c r="Q10" s="8">
        <v>-18601.259999999998</v>
      </c>
      <c r="R10" s="8">
        <v>-18601.259999999998</v>
      </c>
      <c r="S10" s="8">
        <v>-18601.259999999998</v>
      </c>
      <c r="T10" s="8">
        <v>-18601.259999999998</v>
      </c>
      <c r="U10" s="8">
        <v>-18601.259999999998</v>
      </c>
      <c r="V10" s="8">
        <v>-18601.259999999998</v>
      </c>
      <c r="W10" s="8">
        <v>-18601.259999999998</v>
      </c>
      <c r="X10" s="8">
        <v>-18601.259999999998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</row>
    <row r="11" spans="1:45">
      <c r="A11" s="25" t="s">
        <v>72</v>
      </c>
      <c r="B11" s="26">
        <f t="shared" ref="B11:AS11" si="0">SUM(B4:B10)</f>
        <v>0</v>
      </c>
      <c r="C11" s="26">
        <f t="shared" si="0"/>
        <v>0</v>
      </c>
      <c r="D11" s="26">
        <f t="shared" si="0"/>
        <v>0</v>
      </c>
      <c r="E11" s="26">
        <f t="shared" si="0"/>
        <v>-24000</v>
      </c>
      <c r="F11" s="26">
        <f t="shared" si="0"/>
        <v>-247000</v>
      </c>
      <c r="G11" s="26">
        <f t="shared" si="0"/>
        <v>-231200</v>
      </c>
      <c r="H11" s="26">
        <f t="shared" si="0"/>
        <v>-430800</v>
      </c>
      <c r="I11" s="26">
        <f t="shared" si="0"/>
        <v>-419200</v>
      </c>
      <c r="J11" s="26">
        <f t="shared" si="0"/>
        <v>-409300</v>
      </c>
      <c r="K11" s="26">
        <f t="shared" si="0"/>
        <v>-450500</v>
      </c>
      <c r="L11" s="26">
        <f t="shared" si="0"/>
        <v>-340000</v>
      </c>
      <c r="M11" s="26">
        <f t="shared" si="0"/>
        <v>-453600</v>
      </c>
      <c r="N11" s="26">
        <f t="shared" si="0"/>
        <v>-432804</v>
      </c>
      <c r="O11" s="26">
        <f t="shared" si="0"/>
        <v>-342601.26</v>
      </c>
      <c r="P11" s="26">
        <f t="shared" si="0"/>
        <v>-353601.26</v>
      </c>
      <c r="Q11" s="26">
        <f t="shared" si="0"/>
        <v>-326481.26</v>
      </c>
      <c r="R11" s="26">
        <f t="shared" si="0"/>
        <v>-361481.26</v>
      </c>
      <c r="S11" s="26">
        <f t="shared" si="0"/>
        <v>-391481.26</v>
      </c>
      <c r="T11" s="26">
        <f t="shared" si="0"/>
        <v>-391481.26</v>
      </c>
      <c r="U11" s="26">
        <f t="shared" si="0"/>
        <v>-391481.26</v>
      </c>
      <c r="V11" s="26">
        <f t="shared" si="0"/>
        <v>-391481.26</v>
      </c>
      <c r="W11" s="26">
        <f t="shared" si="0"/>
        <v>-391481.26</v>
      </c>
      <c r="X11" s="26">
        <f t="shared" si="0"/>
        <v>-405601.26</v>
      </c>
      <c r="Y11" s="26">
        <f t="shared" si="0"/>
        <v>0</v>
      </c>
      <c r="Z11" s="26">
        <f t="shared" si="0"/>
        <v>0</v>
      </c>
      <c r="AA11" s="26">
        <f t="shared" si="0"/>
        <v>0</v>
      </c>
      <c r="AB11" s="26">
        <f t="shared" si="0"/>
        <v>0</v>
      </c>
      <c r="AC11" s="26">
        <f t="shared" si="0"/>
        <v>0</v>
      </c>
      <c r="AD11" s="26">
        <f t="shared" si="0"/>
        <v>0</v>
      </c>
      <c r="AE11" s="26">
        <f t="shared" si="0"/>
        <v>0</v>
      </c>
      <c r="AF11" s="26">
        <f t="shared" si="0"/>
        <v>0</v>
      </c>
      <c r="AG11" s="26">
        <f t="shared" si="0"/>
        <v>0</v>
      </c>
      <c r="AH11" s="26">
        <f t="shared" si="0"/>
        <v>0</v>
      </c>
      <c r="AI11" s="26">
        <f t="shared" si="0"/>
        <v>0</v>
      </c>
      <c r="AJ11" s="26">
        <f t="shared" si="0"/>
        <v>0</v>
      </c>
      <c r="AK11" s="26">
        <f t="shared" si="0"/>
        <v>0</v>
      </c>
      <c r="AL11" s="26">
        <f t="shared" si="0"/>
        <v>0</v>
      </c>
      <c r="AM11" s="26">
        <f t="shared" si="0"/>
        <v>0</v>
      </c>
      <c r="AN11" s="26">
        <f t="shared" si="0"/>
        <v>0</v>
      </c>
      <c r="AO11" s="26">
        <f t="shared" si="0"/>
        <v>0</v>
      </c>
      <c r="AP11" s="26">
        <f t="shared" si="0"/>
        <v>0</v>
      </c>
      <c r="AQ11" s="26">
        <f t="shared" si="0"/>
        <v>0</v>
      </c>
      <c r="AR11" s="26">
        <f t="shared" si="0"/>
        <v>0</v>
      </c>
      <c r="AS11" s="2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3"/>
  <sheetViews>
    <sheetView zoomScaleNormal="100" workbookViewId="0">
      <pane xSplit="1" ySplit="2" topLeftCell="O3" activePane="bottomRight" state="frozen"/>
      <selection pane="topRight" activeCell="O1" sqref="O1"/>
      <selection pane="bottomLeft" activeCell="A3" sqref="A3"/>
      <selection pane="bottomRight" activeCell="Z6" sqref="Z6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4" t="s">
        <v>88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</row>
    <row r="4" spans="1:45" ht="18" customHeight="1">
      <c r="A4" s="27" t="s">
        <v>89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-50000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0</v>
      </c>
    </row>
    <row r="5" spans="1:45" ht="18" customHeight="1">
      <c r="A5" s="27" t="s">
        <v>90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-250000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-350000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</row>
    <row r="6" spans="1:45" ht="18" customHeight="1">
      <c r="A6" s="27" t="s">
        <v>91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</row>
    <row r="7" spans="1:45" ht="18" customHeight="1">
      <c r="A7" s="27" t="s">
        <v>92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-200000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</row>
    <row r="8" spans="1:45" ht="18" customHeight="1">
      <c r="A8" s="27" t="s">
        <v>93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-85000</v>
      </c>
      <c r="R8" s="10">
        <v>-70000</v>
      </c>
      <c r="S8" s="10">
        <v>-70000</v>
      </c>
      <c r="T8" s="10">
        <v>-70000</v>
      </c>
      <c r="U8" s="10">
        <v>-70000</v>
      </c>
      <c r="V8" s="10">
        <v>-70000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</row>
    <row r="9" spans="1:45" ht="18" customHeight="1">
      <c r="A9" s="27" t="s">
        <v>94</v>
      </c>
      <c r="B9" s="10">
        <v>0</v>
      </c>
      <c r="C9" s="10">
        <v>0</v>
      </c>
      <c r="D9" s="10">
        <v>0</v>
      </c>
      <c r="E9" s="10">
        <v>0</v>
      </c>
      <c r="F9" s="10">
        <v>500000</v>
      </c>
      <c r="G9" s="10">
        <v>0</v>
      </c>
      <c r="H9" s="10">
        <v>0</v>
      </c>
      <c r="I9" s="10">
        <v>0</v>
      </c>
      <c r="J9" s="10">
        <v>0</v>
      </c>
      <c r="K9" s="10">
        <v>665000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950000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1250000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</row>
    <row r="10" spans="1:45" ht="18" customHeight="1">
      <c r="A10" s="27" t="s">
        <v>95</v>
      </c>
      <c r="B10" s="10">
        <v>0</v>
      </c>
      <c r="C10" s="10">
        <v>0</v>
      </c>
      <c r="D10" s="10">
        <v>0</v>
      </c>
      <c r="E10" s="10">
        <v>0</v>
      </c>
      <c r="F10" s="10">
        <v>-760000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 t="s">
        <v>96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</row>
    <row r="11" spans="1:45" ht="18" customHeight="1">
      <c r="A11" s="27" t="s">
        <v>97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-32000</v>
      </c>
      <c r="M11" s="10">
        <v>-34000</v>
      </c>
      <c r="N11" s="10">
        <v>-35000</v>
      </c>
      <c r="O11" s="10">
        <v>-35000</v>
      </c>
      <c r="P11" s="10">
        <v>-35000</v>
      </c>
      <c r="Q11" s="10">
        <v>-35000</v>
      </c>
      <c r="R11" s="10">
        <v>-35000</v>
      </c>
      <c r="S11" s="10">
        <v>-35000</v>
      </c>
      <c r="T11" s="10">
        <v>-35000</v>
      </c>
      <c r="U11" s="10">
        <v>-35000</v>
      </c>
      <c r="V11" s="10">
        <v>-35000</v>
      </c>
      <c r="W11" s="10">
        <v>-35000</v>
      </c>
      <c r="X11" s="10">
        <v>-35000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</row>
    <row r="12" spans="1:45" ht="18" customHeight="1">
      <c r="A12" s="27" t="s">
        <v>98</v>
      </c>
      <c r="B12" s="10">
        <v>0</v>
      </c>
      <c r="C12" s="10">
        <v>0</v>
      </c>
      <c r="D12" s="10">
        <v>0</v>
      </c>
      <c r="E12" s="10">
        <v>0</v>
      </c>
      <c r="F12" s="10">
        <v>-380000</v>
      </c>
      <c r="G12" s="10">
        <v>-380000</v>
      </c>
      <c r="H12" s="10">
        <v>-380000</v>
      </c>
      <c r="I12" s="10">
        <v>-402860</v>
      </c>
      <c r="J12" s="10">
        <v>-402860</v>
      </c>
      <c r="K12" s="10">
        <v>-402860</v>
      </c>
      <c r="L12" s="10">
        <v>-435000</v>
      </c>
      <c r="M12" s="10">
        <v>-435000</v>
      </c>
      <c r="N12" s="10">
        <v>-435000</v>
      </c>
      <c r="O12" s="10">
        <v>-470000</v>
      </c>
      <c r="P12" s="10">
        <v>-470000</v>
      </c>
      <c r="Q12" s="10">
        <v>-470000</v>
      </c>
      <c r="R12" s="10">
        <v>-515000</v>
      </c>
      <c r="S12" s="10">
        <v>-515000</v>
      </c>
      <c r="T12" s="10">
        <v>-515000</v>
      </c>
      <c r="U12" s="10">
        <v>-535000</v>
      </c>
      <c r="V12" s="10">
        <v>-535000</v>
      </c>
      <c r="W12" s="10">
        <v>-535000</v>
      </c>
      <c r="X12" s="10">
        <v>-567000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</row>
    <row r="13" spans="1:45">
      <c r="A13" s="28" t="s">
        <v>72</v>
      </c>
      <c r="B13" s="29">
        <f t="shared" ref="B13:AS13" si="0">SUM(B4:B12)</f>
        <v>0</v>
      </c>
      <c r="C13" s="29">
        <f t="shared" si="0"/>
        <v>0</v>
      </c>
      <c r="D13" s="29">
        <f t="shared" si="0"/>
        <v>0</v>
      </c>
      <c r="E13" s="29">
        <f t="shared" si="0"/>
        <v>0</v>
      </c>
      <c r="F13" s="29">
        <f t="shared" si="0"/>
        <v>-640000</v>
      </c>
      <c r="G13" s="29">
        <f t="shared" si="0"/>
        <v>-380000</v>
      </c>
      <c r="H13" s="29">
        <f t="shared" si="0"/>
        <v>-380000</v>
      </c>
      <c r="I13" s="29">
        <f t="shared" si="0"/>
        <v>-402860</v>
      </c>
      <c r="J13" s="29">
        <f t="shared" si="0"/>
        <v>-402860</v>
      </c>
      <c r="K13" s="29">
        <f t="shared" si="0"/>
        <v>-37860</v>
      </c>
      <c r="L13" s="29">
        <f t="shared" si="0"/>
        <v>-467000</v>
      </c>
      <c r="M13" s="29">
        <f t="shared" si="0"/>
        <v>-469000</v>
      </c>
      <c r="N13" s="29">
        <f t="shared" si="0"/>
        <v>-470000</v>
      </c>
      <c r="O13" s="29">
        <f t="shared" si="0"/>
        <v>-505000</v>
      </c>
      <c r="P13" s="29">
        <f t="shared" si="0"/>
        <v>-505000</v>
      </c>
      <c r="Q13" s="29">
        <f t="shared" si="0"/>
        <v>-590000</v>
      </c>
      <c r="R13" s="29">
        <f t="shared" si="0"/>
        <v>130000</v>
      </c>
      <c r="S13" s="29">
        <f t="shared" si="0"/>
        <v>-620000</v>
      </c>
      <c r="T13" s="29">
        <f t="shared" si="0"/>
        <v>-620000</v>
      </c>
      <c r="U13" s="29">
        <f t="shared" si="0"/>
        <v>-640000</v>
      </c>
      <c r="V13" s="29">
        <f t="shared" si="0"/>
        <v>-640000</v>
      </c>
      <c r="W13" s="29">
        <f t="shared" si="0"/>
        <v>-570000</v>
      </c>
      <c r="X13" s="29">
        <f t="shared" si="0"/>
        <v>648000</v>
      </c>
      <c r="Y13" s="29">
        <f t="shared" si="0"/>
        <v>0</v>
      </c>
      <c r="Z13" s="29">
        <f t="shared" si="0"/>
        <v>-350000</v>
      </c>
      <c r="AA13" s="29">
        <f t="shared" si="0"/>
        <v>0</v>
      </c>
      <c r="AB13" s="29">
        <f t="shared" si="0"/>
        <v>0</v>
      </c>
      <c r="AC13" s="29">
        <f t="shared" si="0"/>
        <v>0</v>
      </c>
      <c r="AD13" s="29">
        <f t="shared" si="0"/>
        <v>0</v>
      </c>
      <c r="AE13" s="29">
        <f t="shared" si="0"/>
        <v>0</v>
      </c>
      <c r="AF13" s="29">
        <f t="shared" si="0"/>
        <v>0</v>
      </c>
      <c r="AG13" s="29">
        <f t="shared" si="0"/>
        <v>0</v>
      </c>
      <c r="AH13" s="29">
        <f t="shared" si="0"/>
        <v>0</v>
      </c>
      <c r="AI13" s="29">
        <f t="shared" si="0"/>
        <v>0</v>
      </c>
      <c r="AJ13" s="29">
        <f t="shared" si="0"/>
        <v>0</v>
      </c>
      <c r="AK13" s="29">
        <f t="shared" si="0"/>
        <v>0</v>
      </c>
      <c r="AL13" s="29">
        <f t="shared" si="0"/>
        <v>0</v>
      </c>
      <c r="AM13" s="29">
        <f t="shared" si="0"/>
        <v>0</v>
      </c>
      <c r="AN13" s="29">
        <f t="shared" si="0"/>
        <v>0</v>
      </c>
      <c r="AO13" s="29">
        <f t="shared" si="0"/>
        <v>0</v>
      </c>
      <c r="AP13" s="29">
        <f t="shared" si="0"/>
        <v>0</v>
      </c>
      <c r="AQ13" s="29">
        <f t="shared" si="0"/>
        <v>0</v>
      </c>
      <c r="AR13" s="29">
        <f t="shared" si="0"/>
        <v>0</v>
      </c>
      <c r="AS13" s="2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"/>
  <sheetViews>
    <sheetView zoomScaleNormal="100" workbookViewId="0"/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31" t="s">
        <v>99</v>
      </c>
      <c r="B1" s="31"/>
      <c r="C1" s="31"/>
      <c r="D1" s="31"/>
    </row>
    <row r="2" spans="1:4">
      <c r="A2" s="30" t="s">
        <v>100</v>
      </c>
      <c r="B2" s="30" t="s">
        <v>101</v>
      </c>
      <c r="C2" s="30" t="s">
        <v>102</v>
      </c>
      <c r="D2" s="30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Panel Principal</vt:lpstr>
      <vt:lpstr>Tarjetas_Bancos</vt:lpstr>
      <vt:lpstr>Gastos_Personales</vt:lpstr>
      <vt:lpstr>Hogar</vt:lpstr>
      <vt:lpstr>Deudas_Varios</vt:lpstr>
      <vt:lpstr>Referencia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Azure</cp:lastModifiedBy>
  <cp:revision>0</cp:revision>
  <dcterms:created xsi:type="dcterms:W3CDTF">2026-06-27T10:25:36Z</dcterms:created>
  <dcterms:modified xsi:type="dcterms:W3CDTF">2026-06-28T17:43:47Z</dcterms:modified>
  <dc:language>en-US</dc:language>
</cp:coreProperties>
</file>