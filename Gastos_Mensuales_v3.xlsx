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anel Principal" sheetId="1" state="visible" r:id="rId3"/>
    <sheet name="Tarjetas_Bancos" sheetId="2" state="visible" r:id="rId4"/>
    <sheet name="Gastos_Personales" sheetId="3" state="visible" r:id="rId5"/>
    <sheet name="Hogar" sheetId="4" state="visible" r:id="rId6"/>
    <sheet name="Deudas_Varios" sheetId="5" state="visible" r:id="rId7"/>
    <sheet name="Referenci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<sst xmlns="http://schemas.openxmlformats.org/spreadsheetml/2006/main" count="499" uniqueCount="104">
  <si>
    <t xml:space="preserve">2025</t>
  </si>
  <si>
    <t xml:space="preserve">2026</t>
  </si>
  <si>
    <t xml:space="preserve">2027</t>
  </si>
  <si>
    <t xml:space="preserve">2028</t>
  </si>
  <si>
    <t xml:space="preserve">Marzo 2025</t>
  </si>
  <si>
    <t xml:space="preserve">Abril 2025</t>
  </si>
  <si>
    <t xml:space="preserve">Mayo 2025</t>
  </si>
  <si>
    <t xml:space="preserve">Junio 2025</t>
  </si>
  <si>
    <t xml:space="preserve">Julio 2025</t>
  </si>
  <si>
    <t xml:space="preserve">Agosto 2025</t>
  </si>
  <si>
    <t xml:space="preserve">Septiembre 2025</t>
  </si>
  <si>
    <t xml:space="preserve">Octubre 2025</t>
  </si>
  <si>
    <t xml:space="preserve">Noviembre 2025</t>
  </si>
  <si>
    <t xml:space="preserve">Diciembre 2025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</si>
  <si>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</si>
  <si>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</si>
  <si>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</si>
  <si>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</si>
  <si>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</si>
  <si>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</si>
  <si>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</si>
  <si>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</si>
  <si>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Septiembre 2026</t>
  </si>
  <si>
    <t xml:space="preserve">Octubre 2026</t>
  </si>
  <si>
    <t xml:space="preserve">Noviembre 2026</t>
  </si>
  <si>
    <t xml:space="preserve">Diciembre 2026</t>
  </si>
  <si>
    <t xml:space="preserve">Enero 2027</t>
  </si>
  <si>
    <t xml:space="preserve">Febrero 2027</t>
  </si>
  <si>
    <t xml:space="preserve">Marzo 2027</t>
  </si>
  <si>
    <t xml:space="preserve">Abril 2027</t>
  </si>
  <si>
    <t xml:space="preserve">Mayo 2027</t>
  </si>
  <si>
    <t xml:space="preserve">Junio 2027</t>
  </si>
  <si>
    <t xml:space="preserve">Julio 2027</t>
  </si>
  <si>
    <t xml:space="preserve">Agosto 2027</t>
  </si>
  <si>
    <t xml:space="preserve">Septiembre 2027</t>
  </si>
  <si>
    <t xml:space="preserve">Octubre 2027</t>
  </si>
  <si>
    <t xml:space="preserve">Noviembre 2027</t>
  </si>
  <si>
    <t xml:space="preserve">Diciembre 2027</t>
  </si>
  <si>
    <t xml:space="preserve">Enero 2028</t>
  </si>
  <si>
    <t xml:space="preserve">Febrero 2028</t>
  </si>
  <si>
    <t xml:space="preserve">Marzo 2028</t>
  </si>
  <si>
    <t xml:space="preserve">Abril 2028</t>
  </si>
  <si>
    <t xml:space="preserve">Mayo 2028</t>
  </si>
  <si>
    <t xml:space="preserve">Junio 2028</t>
  </si>
  <si>
    <t xml:space="preserve">Julio 2028</t>
  </si>
  <si>
    <t xml:space="preserve">Agosto 2028</t>
  </si>
  <si>
    <t xml:space="preserve">Septiembre 2028</t>
  </si>
  <si>
    <t xml:space="preserve">Octubre 2028</t>
  </si>
  <si>
    <t xml:space="preserve">📊 RESUMEN DE GASTOS</t>
  </si>
  <si>
    <t xml:space="preserve">Tarjetas &amp; Bancos</t>
  </si>
  <si>
    <t xml:space="preserve">Gastos Personales</t>
  </si>
  <si>
    <t xml:space="preserve">Hogar</t>
  </si>
  <si>
    <t xml:space="preserve">Deudas &amp; Varios</t>
  </si>
  <si>
    <t xml:space="preserve">TOTAL GASTOS</t>
  </si>
  <si>
    <t xml:space="preserve">💰 INGRESOS</t>
  </si>
  <si>
    <t xml:space="preserve">Ingreso Franco</t>
  </si>
  <si>
    <t xml:space="preserve">Ingreso Abi</t>
  </si>
  <si>
    <t xml:space="preserve">Pago de negocio</t>
  </si>
  <si>
    <t xml:space="preserve">Ingreso por rendimientos</t>
  </si>
  <si>
    <t xml:space="preserve">Nos deben</t>
  </si>
  <si>
    <t xml:space="preserve">TOTAL INGRESOS</t>
  </si>
  <si>
    <t xml:space="preserve">¿LLEGAMOS A PAGAR?</t>
  </si>
  <si>
    <t xml:space="preserve">💳 TARJETAS &amp; BANCOS</t>
  </si>
  <si>
    <t xml:space="preserve">Banco BBVA</t>
  </si>
  <si>
    <t xml:space="preserve">Banco Mercado Pago</t>
  </si>
  <si>
    <t xml:space="preserve">Préstamo BBVA</t>
  </si>
  <si>
    <t xml:space="preserve">Préstamo Naranja X</t>
  </si>
  <si>
    <t xml:space="preserve">Banco Naranja X</t>
  </si>
  <si>
    <t xml:space="preserve">Banco Santander</t>
  </si>
  <si>
    <t xml:space="preserve">Banco BNA (Franco)</t>
  </si>
  <si>
    <t xml:space="preserve">Banco BNA (Abi)</t>
  </si>
  <si>
    <t xml:space="preserve">GO Cuotas (Abi)</t>
  </si>
  <si>
    <t xml:space="preserve">TOTAL</t>
  </si>
  <si>
    <t xml:space="preserve">🎓 GASTOS PERSONALES</t>
  </si>
  <si>
    <t xml:space="preserve">Materias Abi</t>
  </si>
  <si>
    <t xml:space="preserve">Materias Franco</t>
  </si>
  <si>
    <t xml:space="preserve">Gimnasio Franco</t>
  </si>
  <si>
    <t xml:space="preserve">Gimnasio Abi</t>
  </si>
  <si>
    <t xml:space="preserve">Facultad Franco</t>
  </si>
  <si>
    <t xml:space="preserve">Facultad Abi</t>
  </si>
  <si>
    <t xml:space="preserve">🏠 GASTOS DEL HOGAR</t>
  </si>
  <si>
    <t xml:space="preserve">Internet</t>
  </si>
  <si>
    <t xml:space="preserve">Expensas</t>
  </si>
  <si>
    <t xml:space="preserve">Electricidad</t>
  </si>
  <si>
    <t xml:space="preserve">Cuenta Corriente</t>
  </si>
  <si>
    <t xml:space="preserve">Línea Celular</t>
  </si>
  <si>
    <t xml:space="preserve">Transporte</t>
  </si>
  <si>
    <t xml:space="preserve">Impuesto Municipal</t>
  </si>
  <si>
    <t xml:space="preserve">📋 DEUDAS &amp; GASTOS VARIOS</t>
  </si>
  <si>
    <t xml:space="preserve">Papá</t>
  </si>
  <si>
    <t xml:space="preserve">Juani</t>
  </si>
  <si>
    <t xml:space="preserve">Leo</t>
  </si>
  <si>
    <t xml:space="preserve">Entradas a casamiento</t>
  </si>
  <si>
    <t xml:space="preserve">Gastos Varios</t>
  </si>
  <si>
    <t xml:space="preserve">Aguinaldos Franco</t>
  </si>
  <si>
    <t xml:space="preserve">Mes adelantado + % contrato</t>
  </si>
  <si>
    <t xml:space="preserve">-</t>
  </si>
  <si>
    <t xml:space="preserve">Alquier (Agua y Cloaca)</t>
  </si>
  <si>
    <t xml:space="preserve">Alquiler</t>
  </si>
  <si>
    <t xml:space="preserve">📌 DATOS DE REFERENCIA - ALQUILERES</t>
  </si>
  <si>
    <t xml:space="preserve">Concepto</t>
  </si>
  <si>
    <t xml:space="preserve">Alquiler Actual</t>
  </si>
  <si>
    <t xml:space="preserve">Alquiler E. Vieja</t>
  </si>
  <si>
    <t xml:space="preserve">Diferencia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</si>
</sst>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375623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M3" activePane="bottomRight" state="frozen"/>
      <selection pane="topLeft" activeCell="A1" activeCellId="0" sqref="A1"/>
      <selection pane="topRight" activeCell="M1" activeCellId="0" sqref="M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3" t="s">
        <v>48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customFormat="false" ht="18" hidden="false" customHeight="true" outlineLevel="0" collapsed="false">
      <c r="A4" s="4" t="s">
        <v>49</v>
      </c>
      <c r="B4" s="5" t="n">
        <f aca="false">Tarjetas_Bancos!B13</f>
        <v>-2307584.01</v>
      </c>
      <c r="C4" s="5" t="n">
        <f aca="false">Tarjetas_Bancos!C13</f>
        <v>-1341061.69</v>
      </c>
      <c r="D4" s="5" t="n">
        <f aca="false">Tarjetas_Bancos!D13</f>
        <v>-2287461.69</v>
      </c>
      <c r="E4" s="5" t="n">
        <f aca="false">Tarjetas_Bancos!E13</f>
        <v>-2689870</v>
      </c>
      <c r="F4" s="5" t="n">
        <f aca="false">Tarjetas_Bancos!F13</f>
        <v>-2153870</v>
      </c>
      <c r="G4" s="5" t="n">
        <f aca="false">Tarjetas_Bancos!G13</f>
        <v>-2806870</v>
      </c>
      <c r="H4" s="5" t="n">
        <f aca="false">Tarjetas_Bancos!H13</f>
        <v>-6759277</v>
      </c>
      <c r="I4" s="5" t="n">
        <f aca="false">Tarjetas_Bancos!I13</f>
        <v>-1860000</v>
      </c>
      <c r="J4" s="5" t="n">
        <f aca="false">Tarjetas_Bancos!J13</f>
        <v>-2744000</v>
      </c>
      <c r="K4" s="5" t="n">
        <f aca="false">Tarjetas_Bancos!K13</f>
        <v>-2611000</v>
      </c>
      <c r="L4" s="5" t="n">
        <f aca="false">Tarjetas_Bancos!L13</f>
        <v>-1161000</v>
      </c>
      <c r="M4" s="5" t="n">
        <f aca="false">Tarjetas_Bancos!M13</f>
        <v>-938000</v>
      </c>
      <c r="N4" s="5" t="n">
        <f aca="false">Tarjetas_Bancos!N13</f>
        <v>-1124000</v>
      </c>
      <c r="O4" s="5" t="n">
        <f aca="false">Tarjetas_Bancos!O13</f>
        <v>-575000</v>
      </c>
      <c r="P4" s="5" t="n">
        <f aca="false">Tarjetas_Bancos!P13</f>
        <v>-844000</v>
      </c>
      <c r="Q4" s="5" t="n">
        <f aca="false">Tarjetas_Bancos!Q13</f>
        <v>-897000</v>
      </c>
      <c r="R4" s="5" t="n">
        <f aca="false">Tarjetas_Bancos!R13</f>
        <v>-1479000</v>
      </c>
      <c r="S4" s="5" t="n">
        <f aca="false">Tarjetas_Bancos!S13</f>
        <v>-939000</v>
      </c>
      <c r="T4" s="5" t="n">
        <f aca="false">Tarjetas_Bancos!T13</f>
        <v>-139000</v>
      </c>
      <c r="U4" s="5" t="n">
        <f aca="false">Tarjetas_Bancos!U13</f>
        <v>-139000</v>
      </c>
      <c r="V4" s="5" t="n">
        <f aca="false">Tarjetas_Bancos!V13</f>
        <v>-139000</v>
      </c>
      <c r="W4" s="5" t="n">
        <f aca="false">Tarjetas_Bancos!W13</f>
        <v>-139000</v>
      </c>
      <c r="X4" s="5" t="n">
        <f aca="false">Tarjetas_Bancos!X13</f>
        <v>-139000</v>
      </c>
      <c r="Y4" s="5" t="n">
        <f aca="false">Tarjetas_Bancos!Y13</f>
        <v>-139000</v>
      </c>
      <c r="Z4" s="5" t="n">
        <f aca="false">Tarjetas_Bancos!Z13</f>
        <v>-139000</v>
      </c>
      <c r="AA4" s="5" t="n">
        <f aca="false">Tarjetas_Bancos!AA13</f>
        <v>-139000</v>
      </c>
      <c r="AB4" s="5" t="n">
        <f aca="false">Tarjetas_Bancos!AB13</f>
        <v>-139000</v>
      </c>
      <c r="AC4" s="5" t="n">
        <f aca="false">Tarjetas_Bancos!AC13</f>
        <v>-139000</v>
      </c>
      <c r="AD4" s="5" t="n">
        <f aca="false">Tarjetas_Bancos!AD13</f>
        <v>-139000</v>
      </c>
      <c r="AE4" s="5" t="n">
        <f aca="false">Tarjetas_Bancos!AE13</f>
        <v>-139000</v>
      </c>
      <c r="AF4" s="5" t="n">
        <f aca="false">Tarjetas_Bancos!AF13</f>
        <v>-139000</v>
      </c>
      <c r="AG4" s="5" t="n">
        <f aca="false">Tarjetas_Bancos!AG13</f>
        <v>-139000</v>
      </c>
      <c r="AH4" s="5" t="n">
        <f aca="false">Tarjetas_Bancos!AH13</f>
        <v>-139000</v>
      </c>
      <c r="AI4" s="5" t="n">
        <f aca="false">Tarjetas_Bancos!AI13</f>
        <v>-139000</v>
      </c>
      <c r="AJ4" s="5" t="n">
        <f aca="false">Tarjetas_Bancos!AJ13</f>
        <v>0</v>
      </c>
      <c r="AK4" s="5" t="n">
        <f aca="false">Tarjetas_Bancos!AK13</f>
        <v>0</v>
      </c>
      <c r="AL4" s="5" t="n">
        <f aca="false">Tarjetas_Bancos!AL13</f>
        <v>0</v>
      </c>
      <c r="AM4" s="5" t="n">
        <f aca="false">Tarjetas_Bancos!AM13</f>
        <v>0</v>
      </c>
      <c r="AN4" s="5" t="n">
        <f aca="false">Tarjetas_Bancos!AN13</f>
        <v>0</v>
      </c>
      <c r="AO4" s="5" t="n">
        <f aca="false">Tarjetas_Bancos!AO13</f>
        <v>0</v>
      </c>
      <c r="AP4" s="5" t="n">
        <f aca="false">Tarjetas_Bancos!AP13</f>
        <v>0</v>
      </c>
      <c r="AQ4" s="5" t="n">
        <f aca="false">Tarjetas_Bancos!AQ13</f>
        <v>0</v>
      </c>
      <c r="AR4" s="5" t="n">
        <f aca="false">Tarjetas_Bancos!AR13</f>
        <v>0</v>
      </c>
      <c r="AS4" s="5" t="n">
        <f aca="false">Tarjetas_Bancos!AS13</f>
        <v>0</v>
      </c>
    </row>
    <row r="5" customFormat="false" ht="18" hidden="false" customHeight="true" outlineLevel="0" collapsed="false">
      <c r="A5" s="6" t="s">
        <v>50</v>
      </c>
      <c r="B5" s="7" t="n">
        <f aca="false">Gastos_Personales!B10</f>
        <v>0</v>
      </c>
      <c r="C5" s="7" t="n">
        <f aca="false">Gastos_Personales!C10</f>
        <v>0</v>
      </c>
      <c r="D5" s="7" t="n">
        <f aca="false">Gastos_Personales!D10</f>
        <v>0</v>
      </c>
      <c r="E5" s="7" t="n">
        <f aca="false">Gastos_Personales!E10</f>
        <v>0</v>
      </c>
      <c r="F5" s="7" t="n">
        <f aca="false">Gastos_Personales!F10</f>
        <v>0</v>
      </c>
      <c r="G5" s="7" t="n">
        <f aca="false">Gastos_Personales!G10</f>
        <v>0</v>
      </c>
      <c r="H5" s="7" t="n">
        <f aca="false">Gastos_Personales!H10</f>
        <v>0</v>
      </c>
      <c r="I5" s="7" t="n">
        <f aca="false">Gastos_Personales!I10</f>
        <v>-70000</v>
      </c>
      <c r="J5" s="7" t="n">
        <f aca="false">Gastos_Personales!J10</f>
        <v>0</v>
      </c>
      <c r="K5" s="7" t="n">
        <f aca="false">Gastos_Personales!K10</f>
        <v>0</v>
      </c>
      <c r="L5" s="7" t="n">
        <f aca="false">Gastos_Personales!L10</f>
        <v>0</v>
      </c>
      <c r="M5" s="7" t="n">
        <f aca="false">Gastos_Personales!M10</f>
        <v>-39000</v>
      </c>
      <c r="N5" s="7" t="n">
        <f aca="false">Gastos_Personales!N10</f>
        <v>-39000</v>
      </c>
      <c r="O5" s="7" t="n">
        <f aca="false">Gastos_Personales!O10</f>
        <v>0</v>
      </c>
      <c r="P5" s="7" t="n">
        <f aca="false">Gastos_Personales!P10</f>
        <v>0</v>
      </c>
      <c r="Q5" s="7" t="n">
        <f aca="false">Gastos_Personales!Q10</f>
        <v>-180000</v>
      </c>
      <c r="R5" s="7" t="n">
        <f aca="false">Gastos_Personales!R10</f>
        <v>-180000</v>
      </c>
      <c r="S5" s="7" t="n">
        <f aca="false">Gastos_Personales!S10</f>
        <v>-210000</v>
      </c>
      <c r="T5" s="7" t="n">
        <f aca="false">Gastos_Personales!T10</f>
        <v>-180000</v>
      </c>
      <c r="U5" s="7" t="n">
        <f aca="false">Gastos_Personales!U10</f>
        <v>-180000</v>
      </c>
      <c r="V5" s="7" t="n">
        <f aca="false">Gastos_Personales!V10</f>
        <v>-180000</v>
      </c>
      <c r="W5" s="7" t="n">
        <f aca="false">Gastos_Personales!W10</f>
        <v>-180000</v>
      </c>
      <c r="X5" s="7" t="n">
        <f aca="false">Gastos_Personales!X10</f>
        <v>0</v>
      </c>
      <c r="Y5" s="7" t="n">
        <f aca="false">Gastos_Personales!Y10</f>
        <v>0</v>
      </c>
      <c r="Z5" s="7" t="n">
        <f aca="false">Gastos_Personales!Z10</f>
        <v>0</v>
      </c>
      <c r="AA5" s="7" t="n">
        <f aca="false">Gastos_Personales!AA10</f>
        <v>0</v>
      </c>
      <c r="AB5" s="7" t="n">
        <f aca="false">Gastos_Personales!AB10</f>
        <v>0</v>
      </c>
      <c r="AC5" s="7" t="n">
        <f aca="false">Gastos_Personales!AC10</f>
        <v>0</v>
      </c>
      <c r="AD5" s="7" t="n">
        <f aca="false">Gastos_Personales!AD10</f>
        <v>0</v>
      </c>
      <c r="AE5" s="7" t="n">
        <f aca="false">Gastos_Personales!AE10</f>
        <v>0</v>
      </c>
      <c r="AF5" s="7" t="n">
        <f aca="false">Gastos_Personales!AF10</f>
        <v>0</v>
      </c>
      <c r="AG5" s="7" t="n">
        <f aca="false">Gastos_Personales!AG10</f>
        <v>0</v>
      </c>
      <c r="AH5" s="7" t="n">
        <f aca="false">Gastos_Personales!AH10</f>
        <v>0</v>
      </c>
      <c r="AI5" s="7" t="n">
        <f aca="false">Gastos_Personales!AI10</f>
        <v>0</v>
      </c>
      <c r="AJ5" s="7" t="n">
        <f aca="false">Gastos_Personales!AJ10</f>
        <v>0</v>
      </c>
      <c r="AK5" s="7" t="n">
        <f aca="false">Gastos_Personales!AK10</f>
        <v>0</v>
      </c>
      <c r="AL5" s="7" t="n">
        <f aca="false">Gastos_Personales!AL10</f>
        <v>0</v>
      </c>
      <c r="AM5" s="7" t="n">
        <f aca="false">Gastos_Personales!AM10</f>
        <v>0</v>
      </c>
      <c r="AN5" s="7" t="n">
        <f aca="false">Gastos_Personales!AN10</f>
        <v>0</v>
      </c>
      <c r="AO5" s="7" t="n">
        <f aca="false">Gastos_Personales!AO10</f>
        <v>0</v>
      </c>
      <c r="AP5" s="7" t="n">
        <f aca="false">Gastos_Personales!AP10</f>
        <v>0</v>
      </c>
      <c r="AQ5" s="7" t="n">
        <f aca="false">Gastos_Personales!AQ10</f>
        <v>0</v>
      </c>
      <c r="AR5" s="7" t="n">
        <f aca="false">Gastos_Personales!AR10</f>
        <v>0</v>
      </c>
      <c r="AS5" s="7" t="n">
        <f aca="false">Gastos_Personales!AS10</f>
        <v>0</v>
      </c>
    </row>
    <row r="6" customFormat="false" ht="18" hidden="false" customHeight="true" outlineLevel="0" collapsed="false">
      <c r="A6" s="8" t="s">
        <v>51</v>
      </c>
      <c r="B6" s="9" t="n">
        <f aca="false">Hogar!B11</f>
        <v>0</v>
      </c>
      <c r="C6" s="9" t="n">
        <f aca="false">Hogar!C11</f>
        <v>0</v>
      </c>
      <c r="D6" s="9" t="n">
        <f aca="false">Hogar!D11</f>
        <v>0</v>
      </c>
      <c r="E6" s="9" t="n">
        <f aca="false">Hogar!E11</f>
        <v>-24000</v>
      </c>
      <c r="F6" s="9" t="n">
        <f aca="false">Hogar!F11</f>
        <v>-247000</v>
      </c>
      <c r="G6" s="9" t="n">
        <f aca="false">Hogar!G11</f>
        <v>-231200</v>
      </c>
      <c r="H6" s="9" t="n">
        <f aca="false">Hogar!H11</f>
        <v>-430800</v>
      </c>
      <c r="I6" s="9" t="n">
        <f aca="false">Hogar!I11</f>
        <v>-419200</v>
      </c>
      <c r="J6" s="9" t="n">
        <f aca="false">Hogar!J11</f>
        <v>-409300</v>
      </c>
      <c r="K6" s="9" t="n">
        <f aca="false">Hogar!K11</f>
        <v>-450500</v>
      </c>
      <c r="L6" s="9" t="n">
        <f aca="false">Hogar!L11</f>
        <v>-340000</v>
      </c>
      <c r="M6" s="9" t="n">
        <f aca="false">Hogar!M11</f>
        <v>-453600</v>
      </c>
      <c r="N6" s="9" t="n">
        <f aca="false">Hogar!N11</f>
        <v>-432804</v>
      </c>
      <c r="O6" s="9" t="n">
        <f aca="false">Hogar!O11</f>
        <v>-342601.26</v>
      </c>
      <c r="P6" s="9" t="n">
        <f aca="false">Hogar!P11</f>
        <v>-353601.26</v>
      </c>
      <c r="Q6" s="9" t="n">
        <f aca="false">Hogar!Q11</f>
        <v>-326481.26</v>
      </c>
      <c r="R6" s="9" t="n">
        <f aca="false">Hogar!R11</f>
        <v>-361481.26</v>
      </c>
      <c r="S6" s="9" t="n">
        <f aca="false">Hogar!S11</f>
        <v>-391481.26</v>
      </c>
      <c r="T6" s="9" t="n">
        <f aca="false">Hogar!T11</f>
        <v>-391481.26</v>
      </c>
      <c r="U6" s="9" t="n">
        <f aca="false">Hogar!U11</f>
        <v>-391481.26</v>
      </c>
      <c r="V6" s="9" t="n">
        <f aca="false">Hogar!V11</f>
        <v>-391481.26</v>
      </c>
      <c r="W6" s="9" t="n">
        <f aca="false">Hogar!W11</f>
        <v>-391481.26</v>
      </c>
      <c r="X6" s="9" t="n">
        <f aca="false">Hogar!X11</f>
        <v>-405601.26</v>
      </c>
      <c r="Y6" s="9" t="n">
        <f aca="false">Hogar!Y11</f>
        <v>0</v>
      </c>
      <c r="Z6" s="9" t="n">
        <f aca="false">Hogar!Z11</f>
        <v>0</v>
      </c>
      <c r="AA6" s="9" t="n">
        <f aca="false">Hogar!AA11</f>
        <v>0</v>
      </c>
      <c r="AB6" s="9" t="n">
        <f aca="false">Hogar!AB11</f>
        <v>0</v>
      </c>
      <c r="AC6" s="9" t="n">
        <f aca="false">Hogar!AC11</f>
        <v>0</v>
      </c>
      <c r="AD6" s="9" t="n">
        <f aca="false">Hogar!AD11</f>
        <v>0</v>
      </c>
      <c r="AE6" s="9" t="n">
        <f aca="false">Hogar!AE11</f>
        <v>0</v>
      </c>
      <c r="AF6" s="9" t="n">
        <f aca="false">Hogar!AF11</f>
        <v>0</v>
      </c>
      <c r="AG6" s="9" t="n">
        <f aca="false">Hogar!AG11</f>
        <v>0</v>
      </c>
      <c r="AH6" s="9" t="n">
        <f aca="false">Hogar!AH11</f>
        <v>0</v>
      </c>
      <c r="AI6" s="9" t="n">
        <f aca="false">Hogar!AI11</f>
        <v>0</v>
      </c>
      <c r="AJ6" s="9" t="n">
        <f aca="false">Hogar!AJ11</f>
        <v>0</v>
      </c>
      <c r="AK6" s="9" t="n">
        <f aca="false">Hogar!AK11</f>
        <v>0</v>
      </c>
      <c r="AL6" s="9" t="n">
        <f aca="false">Hogar!AL11</f>
        <v>0</v>
      </c>
      <c r="AM6" s="9" t="n">
        <f aca="false">Hogar!AM11</f>
        <v>0</v>
      </c>
      <c r="AN6" s="9" t="n">
        <f aca="false">Hogar!AN11</f>
        <v>0</v>
      </c>
      <c r="AO6" s="9" t="n">
        <f aca="false">Hogar!AO11</f>
        <v>0</v>
      </c>
      <c r="AP6" s="9" t="n">
        <f aca="false">Hogar!AP11</f>
        <v>0</v>
      </c>
      <c r="AQ6" s="9" t="n">
        <f aca="false">Hogar!AQ11</f>
        <v>0</v>
      </c>
      <c r="AR6" s="9" t="n">
        <f aca="false">Hogar!AR11</f>
        <v>0</v>
      </c>
      <c r="AS6" s="9" t="n">
        <f aca="false">Hogar!AS11</f>
        <v>0</v>
      </c>
    </row>
    <row r="7" customFormat="false" ht="18" hidden="false" customHeight="true" outlineLevel="0" collapsed="false">
      <c r="A7" s="10" t="s">
        <v>52</v>
      </c>
      <c r="B7" s="11" t="n">
        <f aca="false">Deudas_Varios!B13</f>
        <v>0</v>
      </c>
      <c r="C7" s="11" t="n">
        <f aca="false">Deudas_Varios!C13</f>
        <v>0</v>
      </c>
      <c r="D7" s="11" t="n">
        <f aca="false">Deudas_Varios!D13</f>
        <v>0</v>
      </c>
      <c r="E7" s="11" t="n">
        <f aca="false">Deudas_Varios!E13</f>
        <v>0</v>
      </c>
      <c r="F7" s="11" t="n">
        <f aca="false">Deudas_Varios!F13</f>
        <v>-640000</v>
      </c>
      <c r="G7" s="11" t="n">
        <f aca="false">Deudas_Varios!G13</f>
        <v>-380000</v>
      </c>
      <c r="H7" s="11" t="n">
        <f aca="false">Deudas_Varios!H13</f>
        <v>-380000</v>
      </c>
      <c r="I7" s="11" t="n">
        <f aca="false">Deudas_Varios!I13</f>
        <v>-402860</v>
      </c>
      <c r="J7" s="11" t="n">
        <f aca="false">Deudas_Varios!J13</f>
        <v>-402860</v>
      </c>
      <c r="K7" s="11" t="n">
        <f aca="false">Deudas_Varios!K13</f>
        <v>-37860</v>
      </c>
      <c r="L7" s="11" t="n">
        <f aca="false">Deudas_Varios!L13</f>
        <v>-467000</v>
      </c>
      <c r="M7" s="11" t="n">
        <f aca="false">Deudas_Varios!M13</f>
        <v>-469000</v>
      </c>
      <c r="N7" s="11" t="n">
        <f aca="false">Deudas_Varios!N13</f>
        <v>-470000</v>
      </c>
      <c r="O7" s="11" t="n">
        <f aca="false">Deudas_Varios!O13</f>
        <v>-505000</v>
      </c>
      <c r="P7" s="11" t="n">
        <f aca="false">Deudas_Varios!P13</f>
        <v>-505000</v>
      </c>
      <c r="Q7" s="11" t="n">
        <f aca="false">Deudas_Varios!Q13</f>
        <v>-590000</v>
      </c>
      <c r="R7" s="11" t="n">
        <f aca="false">Deudas_Varios!R13</f>
        <v>130000</v>
      </c>
      <c r="S7" s="11" t="n">
        <f aca="false">Deudas_Varios!S13</f>
        <v>-620000</v>
      </c>
      <c r="T7" s="11" t="n">
        <f aca="false">Deudas_Varios!T13</f>
        <v>-620000</v>
      </c>
      <c r="U7" s="11" t="n">
        <f aca="false">Deudas_Varios!U13</f>
        <v>-640000</v>
      </c>
      <c r="V7" s="11" t="n">
        <f aca="false">Deudas_Varios!V13</f>
        <v>-640000</v>
      </c>
      <c r="W7" s="11" t="n">
        <f aca="false">Deudas_Varios!W13</f>
        <v>-570000</v>
      </c>
      <c r="X7" s="11" t="n">
        <f aca="false">Deudas_Varios!X13</f>
        <v>648000</v>
      </c>
      <c r="Y7" s="11" t="n">
        <f aca="false">Deudas_Varios!Y13</f>
        <v>0</v>
      </c>
      <c r="Z7" s="11" t="n">
        <f aca="false">Deudas_Varios!Z13</f>
        <v>-350000</v>
      </c>
      <c r="AA7" s="11" t="n">
        <f aca="false">Deudas_Varios!AA13</f>
        <v>0</v>
      </c>
      <c r="AB7" s="11" t="n">
        <f aca="false">Deudas_Varios!AB13</f>
        <v>0</v>
      </c>
      <c r="AC7" s="11" t="n">
        <f aca="false">Deudas_Varios!AC13</f>
        <v>0</v>
      </c>
      <c r="AD7" s="11" t="n">
        <f aca="false">Deudas_Varios!AD13</f>
        <v>0</v>
      </c>
      <c r="AE7" s="11" t="n">
        <f aca="false">Deudas_Varios!AE13</f>
        <v>0</v>
      </c>
      <c r="AF7" s="11" t="n">
        <f aca="false">Deudas_Varios!AF13</f>
        <v>0</v>
      </c>
      <c r="AG7" s="11" t="n">
        <f aca="false">Deudas_Varios!AG13</f>
        <v>0</v>
      </c>
      <c r="AH7" s="11" t="n">
        <f aca="false">Deudas_Varios!AH13</f>
        <v>0</v>
      </c>
      <c r="AI7" s="11" t="n">
        <f aca="false">Deudas_Varios!AI13</f>
        <v>0</v>
      </c>
      <c r="AJ7" s="11" t="n">
        <f aca="false">Deudas_Varios!AJ13</f>
        <v>0</v>
      </c>
      <c r="AK7" s="11" t="n">
        <f aca="false">Deudas_Varios!AK13</f>
        <v>0</v>
      </c>
      <c r="AL7" s="11" t="n">
        <f aca="false">Deudas_Varios!AL13</f>
        <v>0</v>
      </c>
      <c r="AM7" s="11" t="n">
        <f aca="false">Deudas_Varios!AM13</f>
        <v>0</v>
      </c>
      <c r="AN7" s="11" t="n">
        <f aca="false">Deudas_Varios!AN13</f>
        <v>0</v>
      </c>
      <c r="AO7" s="11" t="n">
        <f aca="false">Deudas_Varios!AO13</f>
        <v>0</v>
      </c>
      <c r="AP7" s="11" t="n">
        <f aca="false">Deudas_Varios!AP13</f>
        <v>0</v>
      </c>
      <c r="AQ7" s="11" t="n">
        <f aca="false">Deudas_Varios!AQ13</f>
        <v>0</v>
      </c>
      <c r="AR7" s="11" t="n">
        <f aca="false">Deudas_Varios!AR13</f>
        <v>0</v>
      </c>
      <c r="AS7" s="11" t="n">
        <f aca="false">Deudas_Varios!AS13</f>
        <v>0</v>
      </c>
    </row>
    <row r="8" customFormat="false" ht="15" hidden="false" customHeight="false" outlineLevel="0" collapsed="false">
      <c r="A8" s="12" t="s">
        <v>53</v>
      </c>
      <c r="B8" s="13" t="n">
        <f aca="false">SUM(B4:B7)</f>
        <v>-2307584.01</v>
      </c>
      <c r="C8" s="13" t="n">
        <f aca="false">SUM(C4:C7)</f>
        <v>-1341061.69</v>
      </c>
      <c r="D8" s="13" t="n">
        <f aca="false">SUM(D4:D7)</f>
        <v>-2287461.69</v>
      </c>
      <c r="E8" s="13" t="n">
        <f aca="false">SUM(E4:E7)</f>
        <v>-2713870</v>
      </c>
      <c r="F8" s="13" t="n">
        <f aca="false">SUM(F4:F7)</f>
        <v>-3040870</v>
      </c>
      <c r="G8" s="13" t="n">
        <f aca="false">SUM(G4:G7)</f>
        <v>-3418070</v>
      </c>
      <c r="H8" s="13" t="n">
        <f aca="false">SUM(H4:H7)</f>
        <v>-7570077</v>
      </c>
      <c r="I8" s="13" t="n">
        <f aca="false">SUM(I4:I7)</f>
        <v>-2752060</v>
      </c>
      <c r="J8" s="13" t="n">
        <f aca="false">SUM(J4:J7)</f>
        <v>-3556160</v>
      </c>
      <c r="K8" s="13" t="n">
        <f aca="false">SUM(K4:K7)</f>
        <v>-3099360</v>
      </c>
      <c r="L8" s="13" t="n">
        <f aca="false">SUM(L4:L7)</f>
        <v>-1968000</v>
      </c>
      <c r="M8" s="13" t="n">
        <f aca="false">SUM(M4:M7)</f>
        <v>-1899600</v>
      </c>
      <c r="N8" s="13" t="n">
        <f aca="false">SUM(N4:N7)</f>
        <v>-2065804</v>
      </c>
      <c r="O8" s="13" t="n">
        <f aca="false">SUM(O4:O7)</f>
        <v>-1422601.26</v>
      </c>
      <c r="P8" s="13" t="n">
        <f aca="false">SUM(P4:P7)</f>
        <v>-1702601.26</v>
      </c>
      <c r="Q8" s="13" t="n">
        <f aca="false">SUM(Q4:Q7)</f>
        <v>-1993481.26</v>
      </c>
      <c r="R8" s="13" t="n">
        <f aca="false">SUM(R4:R7)</f>
        <v>-1890481.26</v>
      </c>
      <c r="S8" s="13" t="n">
        <f aca="false">SUM(S4:S7)</f>
        <v>-2160481.26</v>
      </c>
      <c r="T8" s="13" t="n">
        <f aca="false">SUM(T4:T7)</f>
        <v>-1330481.26</v>
      </c>
      <c r="U8" s="13" t="n">
        <f aca="false">SUM(U4:U7)</f>
        <v>-1350481.26</v>
      </c>
      <c r="V8" s="13" t="n">
        <f aca="false">SUM(V4:V7)</f>
        <v>-1350481.26</v>
      </c>
      <c r="W8" s="13" t="n">
        <f aca="false">SUM(W4:W7)</f>
        <v>-1280481.26</v>
      </c>
      <c r="X8" s="13" t="n">
        <f aca="false">SUM(X4:X7)</f>
        <v>103398.74</v>
      </c>
      <c r="Y8" s="13" t="n">
        <f aca="false">SUM(Y4:Y7)</f>
        <v>-139000</v>
      </c>
      <c r="Z8" s="13" t="n">
        <f aca="false">SUM(Z4:Z7)</f>
        <v>-489000</v>
      </c>
      <c r="AA8" s="13" t="n">
        <f aca="false">SUM(AA4:AA7)</f>
        <v>-139000</v>
      </c>
      <c r="AB8" s="13" t="n">
        <f aca="false">SUM(AB4:AB7)</f>
        <v>-139000</v>
      </c>
      <c r="AC8" s="13" t="n">
        <f aca="false">SUM(AC4:AC7)</f>
        <v>-139000</v>
      </c>
      <c r="AD8" s="13" t="n">
        <f aca="false">SUM(AD4:AD7)</f>
        <v>-139000</v>
      </c>
      <c r="AE8" s="13" t="n">
        <f aca="false">SUM(AE4:AE7)</f>
        <v>-139000</v>
      </c>
      <c r="AF8" s="13" t="n">
        <f aca="false">SUM(AF4:AF7)</f>
        <v>-139000</v>
      </c>
      <c r="AG8" s="13" t="n">
        <f aca="false">SUM(AG4:AG7)</f>
        <v>-139000</v>
      </c>
      <c r="AH8" s="13" t="n">
        <f aca="false">SUM(AH4:AH7)</f>
        <v>-139000</v>
      </c>
      <c r="AI8" s="13" t="n">
        <f aca="false">SUM(AI4:AI7)</f>
        <v>-139000</v>
      </c>
      <c r="AJ8" s="13" t="n">
        <f aca="false">SUM(AJ4:AJ7)</f>
        <v>0</v>
      </c>
      <c r="AK8" s="13" t="n">
        <f aca="false">SUM(AK4:AK7)</f>
        <v>0</v>
      </c>
      <c r="AL8" s="13" t="n">
        <f aca="false">SUM(AL4:AL7)</f>
        <v>0</v>
      </c>
      <c r="AM8" s="13" t="n">
        <f aca="false">SUM(AM4:AM7)</f>
        <v>0</v>
      </c>
      <c r="AN8" s="13" t="n">
        <f aca="false">SUM(AN4:AN7)</f>
        <v>0</v>
      </c>
      <c r="AO8" s="13" t="n">
        <f aca="false">SUM(AO4:AO7)</f>
        <v>0</v>
      </c>
      <c r="AP8" s="13" t="n">
        <f aca="false">SUM(AP4:AP7)</f>
        <v>0</v>
      </c>
      <c r="AQ8" s="13" t="n">
        <f aca="false">SUM(AQ4:AQ7)</f>
        <v>0</v>
      </c>
      <c r="AR8" s="13" t="n">
        <f aca="false">SUM(AR4:AR7)</f>
        <v>0</v>
      </c>
      <c r="AS8" s="13" t="n">
        <f aca="false">SUM(AS4:AS7)</f>
        <v>0</v>
      </c>
    </row>
    <row r="9" customFormat="false" ht="19.5" hidden="false" customHeight="true" outlineLevel="0" collapsed="false">
      <c r="A9" s="14" t="s">
        <v>54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</row>
    <row r="10" customFormat="false" ht="18" hidden="false" customHeight="true" outlineLevel="0" collapsed="false">
      <c r="A10" s="15" t="s">
        <v>55</v>
      </c>
      <c r="B10" s="7" t="n">
        <v>1100000</v>
      </c>
      <c r="C10" s="7" t="n">
        <v>1100000</v>
      </c>
      <c r="D10" s="7" t="n">
        <v>1100000</v>
      </c>
      <c r="E10" s="7" t="n">
        <v>1200000</v>
      </c>
      <c r="F10" s="7" t="n">
        <v>1200000</v>
      </c>
      <c r="G10" s="7" t="n">
        <v>1200000</v>
      </c>
      <c r="H10" s="7" t="n">
        <v>1160000</v>
      </c>
      <c r="I10" s="7" t="n">
        <v>1170000</v>
      </c>
      <c r="J10" s="7" t="n">
        <v>1250000</v>
      </c>
      <c r="K10" s="7" t="n">
        <v>1200000</v>
      </c>
      <c r="L10" s="7" t="n">
        <v>1250000</v>
      </c>
      <c r="M10" s="7" t="n">
        <v>1432000</v>
      </c>
      <c r="N10" s="7" t="n">
        <v>1350000</v>
      </c>
      <c r="O10" s="7" t="n">
        <v>1450000</v>
      </c>
      <c r="P10" s="7" t="n">
        <v>1400000</v>
      </c>
      <c r="Q10" s="7" t="n">
        <v>1620000</v>
      </c>
      <c r="R10" s="7" t="n">
        <v>1400000</v>
      </c>
      <c r="S10" s="7" t="n">
        <v>1430000</v>
      </c>
      <c r="T10" s="7" t="n">
        <v>1430000</v>
      </c>
      <c r="U10" s="7" t="n">
        <v>1430000</v>
      </c>
      <c r="V10" s="7" t="n">
        <v>1430000</v>
      </c>
      <c r="W10" s="7" t="n">
        <v>1430000</v>
      </c>
      <c r="X10" s="7" t="n">
        <v>1430000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</row>
    <row r="11" customFormat="false" ht="18" hidden="false" customHeight="true" outlineLevel="0" collapsed="false">
      <c r="A11" s="15" t="s">
        <v>56</v>
      </c>
      <c r="B11" s="7" t="n">
        <v>0</v>
      </c>
      <c r="C11" s="7" t="n">
        <v>0</v>
      </c>
      <c r="D11" s="7" t="n">
        <v>0</v>
      </c>
      <c r="E11" s="7" t="n">
        <v>30000</v>
      </c>
      <c r="F11" s="7" t="n">
        <v>30000</v>
      </c>
      <c r="G11" s="7" t="n">
        <v>0</v>
      </c>
      <c r="H11" s="7" t="n">
        <v>50000</v>
      </c>
      <c r="I11" s="7" t="n">
        <v>100000</v>
      </c>
      <c r="J11" s="7" t="n">
        <v>0</v>
      </c>
      <c r="K11" s="7" t="n">
        <v>0</v>
      </c>
      <c r="L11" s="7" t="n">
        <v>320000</v>
      </c>
      <c r="M11" s="7" t="n">
        <v>960000</v>
      </c>
      <c r="N11" s="7" t="n">
        <v>1400000</v>
      </c>
      <c r="O11" s="7" t="n">
        <v>0</v>
      </c>
      <c r="P11" s="7" t="n">
        <v>0</v>
      </c>
      <c r="Q11" s="7" t="n">
        <v>900000</v>
      </c>
      <c r="R11" s="7" t="n">
        <v>900000</v>
      </c>
      <c r="S11" s="7" t="n">
        <v>900000</v>
      </c>
      <c r="T11" s="7" t="n">
        <v>900000</v>
      </c>
      <c r="U11" s="7" t="n">
        <v>900000</v>
      </c>
      <c r="V11" s="7" t="n">
        <v>900000</v>
      </c>
      <c r="W11" s="7" t="n">
        <v>900000</v>
      </c>
      <c r="X11" s="7" t="n">
        <v>900000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</row>
    <row r="12" customFormat="false" ht="18" hidden="false" customHeight="true" outlineLevel="0" collapsed="false">
      <c r="A12" s="15" t="s">
        <v>57</v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6000000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</row>
    <row r="13" customFormat="false" ht="18" hidden="false" customHeight="true" outlineLevel="0" collapsed="false">
      <c r="A13" s="15" t="s">
        <v>58</v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</row>
    <row r="14" customFormat="false" ht="18" hidden="false" customHeight="true" outlineLevel="0" collapsed="false">
      <c r="A14" s="15" t="s">
        <v>59</v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30000</v>
      </c>
      <c r="G14" s="7" t="n">
        <v>15000</v>
      </c>
      <c r="H14" s="7" t="n">
        <v>15000</v>
      </c>
      <c r="I14" s="7" t="n">
        <v>15000</v>
      </c>
      <c r="J14" s="7" t="n">
        <v>15000</v>
      </c>
      <c r="K14" s="7" t="n">
        <v>15000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</row>
    <row r="15" customFormat="false" ht="15" hidden="false" customHeight="false" outlineLevel="0" collapsed="false">
      <c r="A15" s="16" t="s">
        <v>60</v>
      </c>
      <c r="B15" s="17" t="n">
        <f aca="false">SUM(B10:B14)</f>
        <v>1100000</v>
      </c>
      <c r="C15" s="17" t="n">
        <f aca="false">SUM(C10:C14)</f>
        <v>1100000</v>
      </c>
      <c r="D15" s="17" t="n">
        <f aca="false">SUM(D10:D14)</f>
        <v>1100000</v>
      </c>
      <c r="E15" s="17" t="n">
        <f aca="false">SUM(E10:E14)</f>
        <v>1230000</v>
      </c>
      <c r="F15" s="17" t="n">
        <f aca="false">SUM(F10:F14)</f>
        <v>1260000</v>
      </c>
      <c r="G15" s="17" t="n">
        <f aca="false">SUM(G10:G14)</f>
        <v>1215000</v>
      </c>
      <c r="H15" s="17" t="n">
        <f aca="false">SUM(H10:H14)</f>
        <v>7225000</v>
      </c>
      <c r="I15" s="17" t="n">
        <f aca="false">SUM(I10:I14)</f>
        <v>1285000</v>
      </c>
      <c r="J15" s="17" t="n">
        <f aca="false">SUM(J10:J14)</f>
        <v>1265000</v>
      </c>
      <c r="K15" s="17" t="n">
        <f aca="false">SUM(K10:K14)</f>
        <v>1215000</v>
      </c>
      <c r="L15" s="17" t="n">
        <f aca="false">SUM(L10:L14)</f>
        <v>1570000</v>
      </c>
      <c r="M15" s="17" t="n">
        <f aca="false">SUM(M10:M14)</f>
        <v>2392000</v>
      </c>
      <c r="N15" s="17" t="n">
        <f aca="false">SUM(N10:N14)</f>
        <v>2750000</v>
      </c>
      <c r="O15" s="17" t="n">
        <f aca="false">SUM(O10:O14)</f>
        <v>1450000</v>
      </c>
      <c r="P15" s="17" t="n">
        <f aca="false">SUM(P10:P14)</f>
        <v>1400000</v>
      </c>
      <c r="Q15" s="17" t="n">
        <f aca="false">SUM(Q10:Q14)</f>
        <v>2520000</v>
      </c>
      <c r="R15" s="17" t="n">
        <f aca="false">SUM(R10:R14)</f>
        <v>2300000</v>
      </c>
      <c r="S15" s="17" t="n">
        <f aca="false">SUM(S10:S14)</f>
        <v>2330000</v>
      </c>
      <c r="T15" s="17" t="n">
        <f aca="false">SUM(T10:T14)</f>
        <v>2330000</v>
      </c>
      <c r="U15" s="17" t="n">
        <f aca="false">SUM(U10:U14)</f>
        <v>2330000</v>
      </c>
      <c r="V15" s="17" t="n">
        <f aca="false">SUM(V10:V14)</f>
        <v>2330000</v>
      </c>
      <c r="W15" s="17" t="n">
        <f aca="false">SUM(W10:W14)</f>
        <v>2330000</v>
      </c>
      <c r="X15" s="17" t="n">
        <f aca="false">SUM(X10:X14)</f>
        <v>2330000</v>
      </c>
      <c r="Y15" s="17" t="n">
        <f aca="false">SUM(Y10:Y14)</f>
        <v>0</v>
      </c>
      <c r="Z15" s="17" t="n">
        <f aca="false">SUM(Z10:Z14)</f>
        <v>0</v>
      </c>
      <c r="AA15" s="17" t="n">
        <f aca="false">SUM(AA10:AA14)</f>
        <v>0</v>
      </c>
      <c r="AB15" s="17" t="n">
        <f aca="false">SUM(AB10:AB14)</f>
        <v>0</v>
      </c>
      <c r="AC15" s="17" t="n">
        <f aca="false">SUM(AC10:AC14)</f>
        <v>0</v>
      </c>
      <c r="AD15" s="17" t="n">
        <f aca="false">SUM(AD10:AD14)</f>
        <v>0</v>
      </c>
      <c r="AE15" s="17" t="n">
        <f aca="false">SUM(AE10:AE14)</f>
        <v>0</v>
      </c>
      <c r="AF15" s="17" t="n">
        <f aca="false">SUM(AF10:AF14)</f>
        <v>0</v>
      </c>
      <c r="AG15" s="17" t="n">
        <f aca="false">SUM(AG10:AG14)</f>
        <v>0</v>
      </c>
      <c r="AH15" s="17" t="n">
        <f aca="false">SUM(AH10:AH14)</f>
        <v>0</v>
      </c>
      <c r="AI15" s="17" t="n">
        <f aca="false">SUM(AI10:AI14)</f>
        <v>0</v>
      </c>
      <c r="AJ15" s="17" t="n">
        <f aca="false">SUM(AJ10:AJ14)</f>
        <v>0</v>
      </c>
      <c r="AK15" s="17" t="n">
        <f aca="false">SUM(AK10:AK14)</f>
        <v>0</v>
      </c>
      <c r="AL15" s="17" t="n">
        <f aca="false">SUM(AL10:AL14)</f>
        <v>0</v>
      </c>
      <c r="AM15" s="17" t="n">
        <f aca="false">SUM(AM10:AM14)</f>
        <v>0</v>
      </c>
      <c r="AN15" s="17" t="n">
        <f aca="false">SUM(AN10:AN14)</f>
        <v>0</v>
      </c>
      <c r="AO15" s="17" t="n">
        <f aca="false">SUM(AO10:AO14)</f>
        <v>0</v>
      </c>
      <c r="AP15" s="17" t="n">
        <f aca="false">SUM(AP10:AP14)</f>
        <v>0</v>
      </c>
      <c r="AQ15" s="17" t="n">
        <f aca="false">SUM(AQ10:AQ14)</f>
        <v>0</v>
      </c>
      <c r="AR15" s="17" t="n">
        <f aca="false">SUM(AR10:AR14)</f>
        <v>0</v>
      </c>
      <c r="AS15" s="17" t="n">
        <f aca="false">SUM(AS10:AS14)</f>
        <v>0</v>
      </c>
    </row>
    <row r="16" customFormat="false" ht="21.75" hidden="false" customHeight="true" outlineLevel="0" collapsed="false">
      <c r="A16" s="18" t="s">
        <v>61</v>
      </c>
      <c r="B16" s="19" t="n">
        <f aca="false">B15+B8</f>
        <v>-1207584.01</v>
      </c>
      <c r="C16" s="19" t="n">
        <f aca="false">C15+C8</f>
        <v>-241061.69</v>
      </c>
      <c r="D16" s="19" t="n">
        <f aca="false">D15+D8</f>
        <v>-1187461.69</v>
      </c>
      <c r="E16" s="19" t="n">
        <f aca="false">E15+E8</f>
        <v>-1483870</v>
      </c>
      <c r="F16" s="19" t="n">
        <f aca="false">F15+F8</f>
        <v>-1780870</v>
      </c>
      <c r="G16" s="19" t="n">
        <f aca="false">G15+G8</f>
        <v>-2203070</v>
      </c>
      <c r="H16" s="19" t="n">
        <f aca="false">H15+H8</f>
        <v>-345077</v>
      </c>
      <c r="I16" s="19" t="n">
        <f aca="false">I15+I8</f>
        <v>-1467060</v>
      </c>
      <c r="J16" s="19" t="n">
        <f aca="false">J15+J8</f>
        <v>-2291160</v>
      </c>
      <c r="K16" s="19" t="n">
        <f aca="false">K15+K8</f>
        <v>-1884360</v>
      </c>
      <c r="L16" s="19" t="n">
        <f aca="false">L15+L8</f>
        <v>-398000</v>
      </c>
      <c r="M16" s="20" t="n">
        <f aca="false">M15+M8</f>
        <v>492400</v>
      </c>
      <c r="N16" s="20" t="n">
        <f aca="false">N15+N8</f>
        <v>684196</v>
      </c>
      <c r="O16" s="19" t="n">
        <f aca="false">O15+O8</f>
        <v>27398.74</v>
      </c>
      <c r="P16" s="19" t="n">
        <f aca="false">P15+P8</f>
        <v>-302601.26</v>
      </c>
      <c r="Q16" s="20" t="n">
        <f aca="false">Q15+Q8</f>
        <v>526518.74</v>
      </c>
      <c r="R16" s="20" t="n">
        <f aca="false">R15+R8</f>
        <v>409518.74</v>
      </c>
      <c r="S16" s="20" t="n">
        <f aca="false">S15+S8</f>
        <v>169518.74</v>
      </c>
      <c r="T16" s="20" t="n">
        <f aca="false">T15+T8</f>
        <v>999518.74</v>
      </c>
      <c r="U16" s="20" t="n">
        <f aca="false">U15+U8</f>
        <v>979518.74</v>
      </c>
      <c r="V16" s="20" t="n">
        <f aca="false">V15+V8</f>
        <v>979518.74</v>
      </c>
      <c r="W16" s="20" t="n">
        <f aca="false">W15+W8</f>
        <v>1049518.74</v>
      </c>
      <c r="X16" s="20" t="n">
        <f aca="false">X15+X8</f>
        <v>2433398.74</v>
      </c>
      <c r="Y16" s="19" t="n">
        <f aca="false">Y15+Y8</f>
        <v>-139000</v>
      </c>
      <c r="Z16" s="19" t="n">
        <f aca="false">Z15+Z8</f>
        <v>-489000</v>
      </c>
      <c r="AA16" s="19" t="n">
        <f aca="false">AA15+AA8</f>
        <v>-139000</v>
      </c>
      <c r="AB16" s="19" t="n">
        <f aca="false">AB15+AB8</f>
        <v>-139000</v>
      </c>
      <c r="AC16" s="19" t="n">
        <f aca="false">AC15+AC8</f>
        <v>-139000</v>
      </c>
      <c r="AD16" s="19" t="n">
        <f aca="false">AD15+AD8</f>
        <v>-139000</v>
      </c>
      <c r="AE16" s="19" t="n">
        <f aca="false">AE15+AE8</f>
        <v>-139000</v>
      </c>
      <c r="AF16" s="19" t="n">
        <f aca="false">AF15+AF8</f>
        <v>-139000</v>
      </c>
      <c r="AG16" s="19" t="n">
        <f aca="false">AG15+AG8</f>
        <v>-139000</v>
      </c>
      <c r="AH16" s="19" t="n">
        <f aca="false">AH15+AH8</f>
        <v>-139000</v>
      </c>
      <c r="AI16" s="19" t="n">
        <f aca="false">AI15+AI8</f>
        <v>-139000</v>
      </c>
      <c r="AJ16" s="20" t="n">
        <f aca="false">AJ15+AJ8</f>
        <v>0</v>
      </c>
      <c r="AK16" s="20" t="n">
        <f aca="false">AK15+AK8</f>
        <v>0</v>
      </c>
      <c r="AL16" s="20" t="n">
        <f aca="false">AL15+AL8</f>
        <v>0</v>
      </c>
      <c r="AM16" s="20" t="n">
        <f aca="false">AM15+AM8</f>
        <v>0</v>
      </c>
      <c r="AN16" s="20" t="n">
        <f aca="false">AN15+AN8</f>
        <v>0</v>
      </c>
      <c r="AO16" s="20" t="n">
        <f aca="false">AO15+AO8</f>
        <v>0</v>
      </c>
      <c r="AP16" s="20" t="n">
        <f aca="false">AP15+AP8</f>
        <v>0</v>
      </c>
      <c r="AQ16" s="20" t="n">
        <f aca="false">AQ15+AQ8</f>
        <v>0</v>
      </c>
      <c r="AR16" s="20" t="n">
        <f aca="false">AR15+AR8</f>
        <v>0</v>
      </c>
      <c r="AS16" s="20" t="n">
        <f aca="false">AS15+AS8</f>
        <v>0</v>
      </c>
    </row>
  </sheetData>
  <mergeCells count="2">
    <mergeCell ref="A3:AS3"/>
    <mergeCell ref="A9:AS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L3" activePane="bottomRight" state="frozen"/>
      <selection pane="topLeft" activeCell="A1" activeCellId="0" sqref="A1"/>
      <selection pane="topRight" activeCell="L1" activeCellId="0" sqref="L1"/>
      <selection pane="bottomLeft" activeCell="A3" activeCellId="0" sqref="A3"/>
      <selection pane="bottomRight" activeCell="S5" activeCellId="0" sqref="S5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3" t="s">
        <v>62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customFormat="false" ht="18" hidden="false" customHeight="true" outlineLevel="0" collapsed="false">
      <c r="A4" s="21" t="s">
        <v>63</v>
      </c>
      <c r="B4" s="5" t="n">
        <v>-1081714.01</v>
      </c>
      <c r="C4" s="5" t="n">
        <v>-751591.69</v>
      </c>
      <c r="D4" s="5" t="n">
        <v>-751591.69</v>
      </c>
      <c r="E4" s="5" t="n">
        <v>-1360000</v>
      </c>
      <c r="F4" s="5" t="n">
        <v>-1083000</v>
      </c>
      <c r="G4" s="5" t="n">
        <v>-1450000</v>
      </c>
      <c r="H4" s="5" t="n">
        <v>-1695000</v>
      </c>
      <c r="I4" s="5" t="n">
        <v>-1300000</v>
      </c>
      <c r="J4" s="5" t="n">
        <v>-1733000</v>
      </c>
      <c r="K4" s="5" t="n">
        <v>-1450000</v>
      </c>
      <c r="L4" s="5" t="n">
        <v>-400000</v>
      </c>
      <c r="M4" s="5" t="n">
        <v>-400000</v>
      </c>
      <c r="N4" s="5" t="n">
        <v>-400000</v>
      </c>
      <c r="O4" s="5" t="n">
        <v>-155000</v>
      </c>
      <c r="P4" s="5" t="n">
        <v>-370000</v>
      </c>
      <c r="Q4" s="5" t="n">
        <v>-528000</v>
      </c>
      <c r="R4" s="5" t="n">
        <v>-800000</v>
      </c>
      <c r="S4" s="5" t="n">
        <v>-600000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</row>
    <row r="5" customFormat="false" ht="18" hidden="false" customHeight="true" outlineLevel="0" collapsed="false">
      <c r="A5" s="21" t="s">
        <v>64</v>
      </c>
      <c r="B5" s="5" t="n">
        <v>-149000</v>
      </c>
      <c r="C5" s="5" t="n">
        <v>-149000</v>
      </c>
      <c r="D5" s="5" t="n">
        <v>-149000</v>
      </c>
      <c r="E5" s="5" t="n">
        <v>-149000</v>
      </c>
      <c r="F5" s="5" t="n">
        <v>-128000</v>
      </c>
      <c r="G5" s="5" t="n">
        <v>-474000</v>
      </c>
      <c r="H5" s="5" t="n">
        <v>-502000</v>
      </c>
      <c r="I5" s="5" t="n">
        <v>0</v>
      </c>
      <c r="J5" s="5" t="n">
        <v>-161000</v>
      </c>
      <c r="K5" s="5" t="n">
        <v>-161000</v>
      </c>
      <c r="L5" s="5" t="n">
        <v>-161000</v>
      </c>
      <c r="M5" s="5" t="n">
        <v>-161000</v>
      </c>
      <c r="N5" s="5" t="n">
        <v>-161000</v>
      </c>
      <c r="O5" s="5" t="n">
        <v>-161000</v>
      </c>
      <c r="P5" s="5" t="n">
        <v>-161000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 t="n">
        <v>0</v>
      </c>
      <c r="AL5" s="5" t="n">
        <v>0</v>
      </c>
      <c r="AM5" s="5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</row>
    <row r="6" customFormat="false" ht="18" hidden="false" customHeight="true" outlineLevel="0" collapsed="false">
      <c r="A6" s="21" t="s">
        <v>65</v>
      </c>
      <c r="B6" s="5" t="n">
        <v>-202870</v>
      </c>
      <c r="C6" s="5" t="n">
        <v>-202870</v>
      </c>
      <c r="D6" s="5" t="n">
        <v>-202870</v>
      </c>
      <c r="E6" s="5" t="n">
        <v>-202870</v>
      </c>
      <c r="F6" s="5" t="n">
        <v>-202870</v>
      </c>
      <c r="G6" s="5" t="n">
        <v>-202870</v>
      </c>
      <c r="H6" s="5" t="n">
        <v>-3862277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5" t="n">
        <v>0</v>
      </c>
      <c r="AF6" s="5" t="n">
        <v>0</v>
      </c>
      <c r="AG6" s="5" t="n">
        <v>0</v>
      </c>
      <c r="AH6" s="5" t="n">
        <v>0</v>
      </c>
      <c r="AI6" s="5" t="n">
        <v>0</v>
      </c>
      <c r="AJ6" s="5" t="n">
        <v>0</v>
      </c>
      <c r="AK6" s="5" t="n">
        <v>0</v>
      </c>
      <c r="AL6" s="5" t="n">
        <v>0</v>
      </c>
      <c r="AM6" s="5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R6" s="5" t="n">
        <v>0</v>
      </c>
      <c r="AS6" s="5" t="n">
        <v>0</v>
      </c>
    </row>
    <row r="7" customFormat="false" ht="18" hidden="false" customHeight="true" outlineLevel="0" collapsed="false">
      <c r="A7" s="21" t="s">
        <v>66</v>
      </c>
      <c r="B7" s="5" t="n">
        <v>0</v>
      </c>
      <c r="C7" s="5" t="n">
        <v>-83000</v>
      </c>
      <c r="D7" s="5" t="n">
        <v>-83000</v>
      </c>
      <c r="E7" s="5" t="n">
        <v>-83000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 t="n">
        <v>0</v>
      </c>
      <c r="AL7" s="5" t="n">
        <v>0</v>
      </c>
      <c r="AM7" s="5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</row>
    <row r="8" customFormat="false" ht="18" hidden="false" customHeight="true" outlineLevel="0" collapsed="false">
      <c r="A8" s="21" t="s">
        <v>67</v>
      </c>
      <c r="B8" s="5" t="n">
        <v>-840000</v>
      </c>
      <c r="C8" s="5" t="n">
        <v>-120600</v>
      </c>
      <c r="D8" s="5" t="n">
        <v>-1067000</v>
      </c>
      <c r="E8" s="5" t="n">
        <v>-895000</v>
      </c>
      <c r="F8" s="5" t="n">
        <v>-740000</v>
      </c>
      <c r="G8" s="5" t="n">
        <v>-680000</v>
      </c>
      <c r="H8" s="5" t="n">
        <v>-700000</v>
      </c>
      <c r="I8" s="5" t="n">
        <v>-560000</v>
      </c>
      <c r="J8" s="5" t="n">
        <v>-850000</v>
      </c>
      <c r="K8" s="5" t="n">
        <v>-1000000</v>
      </c>
      <c r="L8" s="5" t="n">
        <v>-600000</v>
      </c>
      <c r="M8" s="5" t="n">
        <v>-127000</v>
      </c>
      <c r="N8" s="5" t="n">
        <v>-193000</v>
      </c>
      <c r="O8" s="5" t="n">
        <v>-139000</v>
      </c>
      <c r="P8" s="5" t="n">
        <v>-139000</v>
      </c>
      <c r="Q8" s="5" t="n">
        <v>-139000</v>
      </c>
      <c r="R8" s="5" t="n">
        <v>-139000</v>
      </c>
      <c r="S8" s="5" t="n">
        <v>-139000</v>
      </c>
      <c r="T8" s="5" t="n">
        <v>-139000</v>
      </c>
      <c r="U8" s="5" t="n">
        <v>-139000</v>
      </c>
      <c r="V8" s="5" t="n">
        <v>-139000</v>
      </c>
      <c r="W8" s="5" t="n">
        <v>-139000</v>
      </c>
      <c r="X8" s="5" t="n">
        <v>-139000</v>
      </c>
      <c r="Y8" s="5" t="n">
        <v>-139000</v>
      </c>
      <c r="Z8" s="5" t="n">
        <v>-139000</v>
      </c>
      <c r="AA8" s="5" t="n">
        <v>-139000</v>
      </c>
      <c r="AB8" s="5" t="n">
        <v>-139000</v>
      </c>
      <c r="AC8" s="5" t="n">
        <v>-139000</v>
      </c>
      <c r="AD8" s="5" t="n">
        <v>-139000</v>
      </c>
      <c r="AE8" s="5" t="n">
        <v>-139000</v>
      </c>
      <c r="AF8" s="5" t="n">
        <v>-139000</v>
      </c>
      <c r="AG8" s="5" t="n">
        <v>-139000</v>
      </c>
      <c r="AH8" s="5" t="n">
        <v>-139000</v>
      </c>
      <c r="AI8" s="5" t="n">
        <v>-139000</v>
      </c>
      <c r="AJ8" s="5" t="n">
        <v>0</v>
      </c>
      <c r="AK8" s="5" t="n">
        <v>0</v>
      </c>
      <c r="AL8" s="5" t="n">
        <v>0</v>
      </c>
      <c r="AM8" s="5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</row>
    <row r="9" customFormat="false" ht="18" hidden="false" customHeight="true" outlineLevel="0" collapsed="false">
      <c r="A9" s="21" t="s">
        <v>68</v>
      </c>
      <c r="B9" s="5" t="n">
        <v>-34000</v>
      </c>
      <c r="C9" s="5" t="n">
        <v>-34000</v>
      </c>
      <c r="D9" s="5" t="n">
        <v>-34000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5" t="n">
        <v>0</v>
      </c>
      <c r="AK9" s="5" t="n">
        <v>0</v>
      </c>
      <c r="AL9" s="5" t="n">
        <v>0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R9" s="5" t="n">
        <v>0</v>
      </c>
      <c r="AS9" s="5" t="n">
        <v>0</v>
      </c>
    </row>
    <row r="10" customFormat="false" ht="18" hidden="false" customHeight="true" outlineLevel="0" collapsed="false">
      <c r="A10" s="21" t="s">
        <v>69</v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-250000</v>
      </c>
      <c r="N10" s="5" t="n">
        <v>-170000</v>
      </c>
      <c r="O10" s="5" t="n">
        <v>-70000</v>
      </c>
      <c r="P10" s="5" t="n">
        <v>-137000</v>
      </c>
      <c r="Q10" s="5" t="n">
        <v>-160000</v>
      </c>
      <c r="R10" s="5" t="n">
        <v>-400000</v>
      </c>
      <c r="S10" s="5" t="n">
        <v>-200000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R10" s="5" t="n">
        <v>0</v>
      </c>
      <c r="AS10" s="5" t="n">
        <v>0</v>
      </c>
    </row>
    <row r="11" customFormat="false" ht="18" hidden="false" customHeight="true" outlineLevel="0" collapsed="false">
      <c r="A11" s="21" t="s">
        <v>70</v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-200000</v>
      </c>
      <c r="O11" s="5" t="n">
        <v>-50000</v>
      </c>
      <c r="P11" s="5" t="n">
        <v>-37000</v>
      </c>
      <c r="Q11" s="5" t="n">
        <v>0</v>
      </c>
      <c r="R11" s="5" t="n">
        <v>-140000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 t="n">
        <v>0</v>
      </c>
      <c r="AL11" s="5" t="n">
        <v>0</v>
      </c>
      <c r="AM11" s="5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R11" s="5" t="n">
        <v>0</v>
      </c>
      <c r="AS11" s="5" t="n">
        <v>0</v>
      </c>
    </row>
    <row r="12" customFormat="false" ht="18" hidden="false" customHeight="true" outlineLevel="0" collapsed="false">
      <c r="A12" s="21" t="s">
        <v>71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-70000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  <c r="AE12" s="5" t="n">
        <v>0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R12" s="5" t="n">
        <v>0</v>
      </c>
      <c r="AS12" s="5" t="n">
        <v>0</v>
      </c>
    </row>
    <row r="13" customFormat="false" ht="15" hidden="false" customHeight="false" outlineLevel="0" collapsed="false">
      <c r="A13" s="22" t="s">
        <v>72</v>
      </c>
      <c r="B13" s="23" t="n">
        <f aca="false">SUM(B4:B12)</f>
        <v>-2307584.01</v>
      </c>
      <c r="C13" s="23" t="n">
        <f aca="false">SUM(C4:C12)</f>
        <v>-1341061.69</v>
      </c>
      <c r="D13" s="23" t="n">
        <f aca="false">SUM(D4:D12)</f>
        <v>-2287461.69</v>
      </c>
      <c r="E13" s="23" t="n">
        <f aca="false">SUM(E4:E12)</f>
        <v>-2689870</v>
      </c>
      <c r="F13" s="23" t="n">
        <f aca="false">SUM(F4:F12)</f>
        <v>-2153870</v>
      </c>
      <c r="G13" s="23" t="n">
        <f aca="false">SUM(G4:G12)</f>
        <v>-2806870</v>
      </c>
      <c r="H13" s="23" t="n">
        <f aca="false">SUM(H4:H12)</f>
        <v>-6759277</v>
      </c>
      <c r="I13" s="23" t="n">
        <f aca="false">SUM(I4:I12)</f>
        <v>-1860000</v>
      </c>
      <c r="J13" s="23" t="n">
        <f aca="false">SUM(J4:J12)</f>
        <v>-2744000</v>
      </c>
      <c r="K13" s="23" t="n">
        <f aca="false">SUM(K4:K12)</f>
        <v>-2611000</v>
      </c>
      <c r="L13" s="23" t="n">
        <f aca="false">SUM(L4:L12)</f>
        <v>-1161000</v>
      </c>
      <c r="M13" s="23" t="n">
        <f aca="false">SUM(M4:M12)</f>
        <v>-938000</v>
      </c>
      <c r="N13" s="23" t="n">
        <f aca="false">SUM(N4:N12)</f>
        <v>-1124000</v>
      </c>
      <c r="O13" s="23" t="n">
        <f aca="false">SUM(O4:O12)</f>
        <v>-575000</v>
      </c>
      <c r="P13" s="23" t="n">
        <f aca="false">SUM(P4:P12)</f>
        <v>-844000</v>
      </c>
      <c r="Q13" s="23" t="n">
        <f aca="false">SUM(Q4:Q12)</f>
        <v>-897000</v>
      </c>
      <c r="R13" s="23" t="n">
        <f aca="false">SUM(R4:R12)</f>
        <v>-1479000</v>
      </c>
      <c r="S13" s="23" t="n">
        <f aca="false">SUM(S4:S12)</f>
        <v>-939000</v>
      </c>
      <c r="T13" s="23" t="n">
        <f aca="false">SUM(T4:T12)</f>
        <v>-139000</v>
      </c>
      <c r="U13" s="23" t="n">
        <f aca="false">SUM(U4:U12)</f>
        <v>-139000</v>
      </c>
      <c r="V13" s="23" t="n">
        <f aca="false">SUM(V4:V12)</f>
        <v>-139000</v>
      </c>
      <c r="W13" s="23" t="n">
        <f aca="false">SUM(W4:W12)</f>
        <v>-139000</v>
      </c>
      <c r="X13" s="23" t="n">
        <f aca="false">SUM(X4:X12)</f>
        <v>-139000</v>
      </c>
      <c r="Y13" s="23" t="n">
        <f aca="false">SUM(Y4:Y12)</f>
        <v>-139000</v>
      </c>
      <c r="Z13" s="23" t="n">
        <f aca="false">SUM(Z4:Z12)</f>
        <v>-139000</v>
      </c>
      <c r="AA13" s="23" t="n">
        <f aca="false">SUM(AA4:AA12)</f>
        <v>-139000</v>
      </c>
      <c r="AB13" s="23" t="n">
        <f aca="false">SUM(AB4:AB12)</f>
        <v>-139000</v>
      </c>
      <c r="AC13" s="23" t="n">
        <f aca="false">SUM(AC4:AC12)</f>
        <v>-139000</v>
      </c>
      <c r="AD13" s="23" t="n">
        <f aca="false">SUM(AD4:AD12)</f>
        <v>-139000</v>
      </c>
      <c r="AE13" s="23" t="n">
        <f aca="false">SUM(AE4:AE12)</f>
        <v>-139000</v>
      </c>
      <c r="AF13" s="23" t="n">
        <f aca="false">SUM(AF4:AF12)</f>
        <v>-139000</v>
      </c>
      <c r="AG13" s="23" t="n">
        <f aca="false">SUM(AG4:AG12)</f>
        <v>-139000</v>
      </c>
      <c r="AH13" s="23" t="n">
        <f aca="false">SUM(AH4:AH12)</f>
        <v>-139000</v>
      </c>
      <c r="AI13" s="23" t="n">
        <f aca="false">SUM(AI4:AI12)</f>
        <v>-139000</v>
      </c>
      <c r="AJ13" s="23" t="n">
        <f aca="false">SUM(AJ4:AJ12)</f>
        <v>0</v>
      </c>
      <c r="AK13" s="23" t="n">
        <f aca="false">SUM(AK4:AK12)</f>
        <v>0</v>
      </c>
      <c r="AL13" s="23" t="n">
        <f aca="false">SUM(AL4:AL12)</f>
        <v>0</v>
      </c>
      <c r="AM13" s="23" t="n">
        <f aca="false">SUM(AM4:AM12)</f>
        <v>0</v>
      </c>
      <c r="AN13" s="23" t="n">
        <f aca="false">SUM(AN4:AN12)</f>
        <v>0</v>
      </c>
      <c r="AO13" s="23" t="n">
        <f aca="false">SUM(AO4:AO12)</f>
        <v>0</v>
      </c>
      <c r="AP13" s="23" t="n">
        <f aca="false">SUM(AP4:AP12)</f>
        <v>0</v>
      </c>
      <c r="AQ13" s="23" t="n">
        <f aca="false">SUM(AQ4:AQ12)</f>
        <v>0</v>
      </c>
      <c r="AR13" s="23" t="n">
        <f aca="false">SUM(AR4:AR12)</f>
        <v>0</v>
      </c>
      <c r="AS13" s="23" t="n">
        <f aca="false">SUM(AS4:AS12)</f>
        <v>0</v>
      </c>
    </row>
  </sheetData>
  <mergeCells count="1">
    <mergeCell ref="A3:A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M3" activePane="bottomRight" state="frozen"/>
      <selection pane="topLeft" activeCell="A1" activeCellId="0" sqref="A1"/>
      <selection pane="topRight" activeCell="M1" activeCellId="0" sqref="M1"/>
      <selection pane="bottomLeft" activeCell="A3" activeCellId="0" sqref="A3"/>
      <selection pane="bottomRight" activeCell="U18" activeCellId="0" sqref="U18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14" t="s">
        <v>73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</row>
    <row r="4" customFormat="false" ht="18" hidden="false" customHeight="true" outlineLevel="0" collapsed="false">
      <c r="A4" s="15" t="s">
        <v>74</v>
      </c>
      <c r="B4" s="7" t="n">
        <v>0</v>
      </c>
      <c r="C4" s="7" t="n">
        <v>0</v>
      </c>
      <c r="D4" s="7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</row>
    <row r="5" customFormat="false" ht="18" hidden="false" customHeight="true" outlineLevel="0" collapsed="false">
      <c r="A5" s="15" t="s">
        <v>75</v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-30000</v>
      </c>
      <c r="T5" s="7" t="n">
        <v>0</v>
      </c>
      <c r="U5" s="7" t="n">
        <v>0</v>
      </c>
      <c r="V5" s="7" t="n">
        <v>0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</row>
    <row r="6" customFormat="false" ht="18" hidden="false" customHeight="true" outlineLevel="0" collapsed="false">
      <c r="A6" s="15" t="s">
        <v>76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-35000</v>
      </c>
      <c r="J6" s="7" t="n">
        <v>0</v>
      </c>
      <c r="K6" s="7" t="n">
        <v>0</v>
      </c>
      <c r="L6" s="7" t="n">
        <v>0</v>
      </c>
      <c r="M6" s="7" t="n">
        <v>-39000</v>
      </c>
      <c r="N6" s="7" t="n">
        <v>-39000</v>
      </c>
      <c r="O6" s="7" t="n">
        <v>0</v>
      </c>
      <c r="P6" s="7" t="n">
        <v>0</v>
      </c>
      <c r="Q6" s="7" t="n">
        <v>0</v>
      </c>
      <c r="R6" s="7" t="n">
        <v>0</v>
      </c>
      <c r="S6" s="7"/>
      <c r="T6" s="7"/>
      <c r="U6" s="7"/>
      <c r="V6" s="7"/>
      <c r="W6" s="7"/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0</v>
      </c>
      <c r="AQ6" s="7" t="n">
        <v>0</v>
      </c>
      <c r="AR6" s="7" t="n">
        <v>0</v>
      </c>
      <c r="AS6" s="7" t="n">
        <v>0</v>
      </c>
    </row>
    <row r="7" customFormat="false" ht="18" hidden="false" customHeight="true" outlineLevel="0" collapsed="false">
      <c r="A7" s="15" t="s">
        <v>77</v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-35000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</row>
    <row r="8" customFormat="false" ht="18" hidden="false" customHeight="true" outlineLevel="0" collapsed="false">
      <c r="A8" s="15" t="s">
        <v>78</v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</row>
    <row r="9" customFormat="false" ht="18" hidden="false" customHeight="true" outlineLevel="0" collapsed="false">
      <c r="A9" s="15" t="s">
        <v>79</v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-180000</v>
      </c>
      <c r="R9" s="7" t="n">
        <v>-180000</v>
      </c>
      <c r="S9" s="7" t="n">
        <v>-180000</v>
      </c>
      <c r="T9" s="7" t="n">
        <v>-180000</v>
      </c>
      <c r="U9" s="7" t="n">
        <v>-180000</v>
      </c>
      <c r="V9" s="7" t="n">
        <v>-180000</v>
      </c>
      <c r="W9" s="7" t="n">
        <v>-180000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</row>
    <row r="10" customFormat="false" ht="15" hidden="false" customHeight="false" outlineLevel="0" collapsed="false">
      <c r="A10" s="24" t="s">
        <v>72</v>
      </c>
      <c r="B10" s="25" t="n">
        <f aca="false">SUM(B4:B9)</f>
        <v>0</v>
      </c>
      <c r="C10" s="25" t="n">
        <f aca="false">SUM(C4:C9)</f>
        <v>0</v>
      </c>
      <c r="D10" s="25" t="n">
        <f aca="false">SUM(D4:D9)</f>
        <v>0</v>
      </c>
      <c r="E10" s="25" t="n">
        <f aca="false">SUM(E4:E9)</f>
        <v>0</v>
      </c>
      <c r="F10" s="25" t="n">
        <f aca="false">SUM(F4:F9)</f>
        <v>0</v>
      </c>
      <c r="G10" s="25" t="n">
        <f aca="false">SUM(G4:G9)</f>
        <v>0</v>
      </c>
      <c r="H10" s="25" t="n">
        <f aca="false">SUM(H4:H9)</f>
        <v>0</v>
      </c>
      <c r="I10" s="25" t="n">
        <f aca="false">SUM(I4:I9)</f>
        <v>-70000</v>
      </c>
      <c r="J10" s="25" t="n">
        <f aca="false">SUM(J4:J9)</f>
        <v>0</v>
      </c>
      <c r="K10" s="25" t="n">
        <f aca="false">SUM(K4:K9)</f>
        <v>0</v>
      </c>
      <c r="L10" s="25" t="n">
        <f aca="false">SUM(L4:L9)</f>
        <v>0</v>
      </c>
      <c r="M10" s="25" t="n">
        <f aca="false">SUM(M4:M9)</f>
        <v>-39000</v>
      </c>
      <c r="N10" s="25" t="n">
        <f aca="false">SUM(N4:N9)</f>
        <v>-39000</v>
      </c>
      <c r="O10" s="25" t="n">
        <f aca="false">SUM(O4:O9)</f>
        <v>0</v>
      </c>
      <c r="P10" s="25" t="n">
        <f aca="false">SUM(P4:P9)</f>
        <v>0</v>
      </c>
      <c r="Q10" s="25" t="n">
        <f aca="false">SUM(Q4:Q9)</f>
        <v>-180000</v>
      </c>
      <c r="R10" s="25" t="n">
        <f aca="false">SUM(R4:R9)</f>
        <v>-180000</v>
      </c>
      <c r="S10" s="25" t="n">
        <f aca="false">SUM(S4:S9)</f>
        <v>-210000</v>
      </c>
      <c r="T10" s="25" t="n">
        <f aca="false">SUM(T4:T9)</f>
        <v>-180000</v>
      </c>
      <c r="U10" s="25" t="n">
        <f aca="false">SUM(U4:U9)</f>
        <v>-180000</v>
      </c>
      <c r="V10" s="25" t="n">
        <f aca="false">SUM(V4:V9)</f>
        <v>-180000</v>
      </c>
      <c r="W10" s="25" t="n">
        <f aca="false">SUM(W4:W9)</f>
        <v>-180000</v>
      </c>
      <c r="X10" s="25" t="n">
        <f aca="false">SUM(X4:X9)</f>
        <v>0</v>
      </c>
      <c r="Y10" s="25" t="n">
        <f aca="false">SUM(Y4:Y9)</f>
        <v>0</v>
      </c>
      <c r="Z10" s="25" t="n">
        <f aca="false">SUM(Z4:Z9)</f>
        <v>0</v>
      </c>
      <c r="AA10" s="25" t="n">
        <f aca="false">SUM(AA4:AA9)</f>
        <v>0</v>
      </c>
      <c r="AB10" s="25" t="n">
        <f aca="false">SUM(AB4:AB9)</f>
        <v>0</v>
      </c>
      <c r="AC10" s="25" t="n">
        <f aca="false">SUM(AC4:AC9)</f>
        <v>0</v>
      </c>
      <c r="AD10" s="25" t="n">
        <f aca="false">SUM(AD4:AD9)</f>
        <v>0</v>
      </c>
      <c r="AE10" s="25" t="n">
        <f aca="false">SUM(AE4:AE9)</f>
        <v>0</v>
      </c>
      <c r="AF10" s="25" t="n">
        <f aca="false">SUM(AF4:AF9)</f>
        <v>0</v>
      </c>
      <c r="AG10" s="25" t="n">
        <f aca="false">SUM(AG4:AG9)</f>
        <v>0</v>
      </c>
      <c r="AH10" s="25" t="n">
        <f aca="false">SUM(AH4:AH9)</f>
        <v>0</v>
      </c>
      <c r="AI10" s="25" t="n">
        <f aca="false">SUM(AI4:AI9)</f>
        <v>0</v>
      </c>
      <c r="AJ10" s="25" t="n">
        <f aca="false">SUM(AJ4:AJ9)</f>
        <v>0</v>
      </c>
      <c r="AK10" s="25" t="n">
        <f aca="false">SUM(AK4:AK9)</f>
        <v>0</v>
      </c>
      <c r="AL10" s="25" t="n">
        <f aca="false">SUM(AL4:AL9)</f>
        <v>0</v>
      </c>
      <c r="AM10" s="25" t="n">
        <f aca="false">SUM(AM4:AM9)</f>
        <v>0</v>
      </c>
      <c r="AN10" s="25" t="n">
        <f aca="false">SUM(AN4:AN9)</f>
        <v>0</v>
      </c>
      <c r="AO10" s="25" t="n">
        <f aca="false">SUM(AO4:AO9)</f>
        <v>0</v>
      </c>
      <c r="AP10" s="25" t="n">
        <f aca="false">SUM(AP4:AP9)</f>
        <v>0</v>
      </c>
      <c r="AQ10" s="25" t="n">
        <f aca="false">SUM(AQ4:AQ9)</f>
        <v>0</v>
      </c>
      <c r="AR10" s="25" t="n">
        <f aca="false">SUM(AR4:AR9)</f>
        <v>0</v>
      </c>
      <c r="AS10" s="25" t="n">
        <f aca="false">SUM(AS4:AS9)</f>
        <v>0</v>
      </c>
    </row>
  </sheetData>
  <mergeCells count="1">
    <mergeCell ref="A3:A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L3" activePane="bottomRight" state="frozen"/>
      <selection pane="topLeft" activeCell="A1" activeCellId="0" sqref="A1"/>
      <selection pane="topRight" activeCell="L1" activeCellId="0" sqref="L1"/>
      <selection pane="bottomLeft" activeCell="A3" activeCellId="0" sqref="A3"/>
      <selection pane="bottomRight" activeCell="S14" activeCellId="0" sqref="S14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26" t="s">
        <v>80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</row>
    <row r="4" customFormat="false" ht="18" hidden="false" customHeight="true" outlineLevel="0" collapsed="false">
      <c r="A4" s="27" t="s">
        <v>81</v>
      </c>
      <c r="B4" s="9" t="n">
        <v>0</v>
      </c>
      <c r="C4" s="9" t="n">
        <v>0</v>
      </c>
      <c r="D4" s="9" t="n">
        <v>0</v>
      </c>
      <c r="E4" s="9" t="n">
        <v>-24000</v>
      </c>
      <c r="F4" s="9" t="n">
        <v>-24000</v>
      </c>
      <c r="G4" s="9" t="n">
        <v>-31200</v>
      </c>
      <c r="H4" s="9" t="n">
        <v>-58500</v>
      </c>
      <c r="I4" s="9" t="n">
        <v>-31200</v>
      </c>
      <c r="J4" s="9" t="n">
        <v>-31200</v>
      </c>
      <c r="K4" s="9" t="n">
        <v>-32500</v>
      </c>
      <c r="L4" s="9" t="n">
        <v>-35000</v>
      </c>
      <c r="M4" s="9" t="n">
        <v>-35000</v>
      </c>
      <c r="N4" s="9" t="n">
        <v>-35000</v>
      </c>
      <c r="O4" s="9" t="n">
        <v>-35000</v>
      </c>
      <c r="P4" s="9" t="n">
        <v>-35000</v>
      </c>
      <c r="Q4" s="9" t="n">
        <v>0</v>
      </c>
      <c r="R4" s="9" t="n">
        <v>-35000</v>
      </c>
      <c r="S4" s="9" t="n">
        <v>-35000</v>
      </c>
      <c r="T4" s="9" t="n">
        <v>-35000</v>
      </c>
      <c r="U4" s="9" t="n">
        <v>-35000</v>
      </c>
      <c r="V4" s="9" t="n">
        <v>-35000</v>
      </c>
      <c r="W4" s="9" t="n">
        <v>-35000</v>
      </c>
      <c r="X4" s="9" t="n">
        <v>-35000</v>
      </c>
      <c r="Y4" s="9" t="n">
        <v>0</v>
      </c>
      <c r="Z4" s="9" t="n">
        <v>0</v>
      </c>
      <c r="AA4" s="9" t="n">
        <v>0</v>
      </c>
      <c r="AB4" s="9" t="n">
        <v>0</v>
      </c>
      <c r="AC4" s="9" t="n">
        <v>0</v>
      </c>
      <c r="AD4" s="9" t="n">
        <v>0</v>
      </c>
      <c r="AE4" s="9" t="n">
        <v>0</v>
      </c>
      <c r="AF4" s="9" t="n">
        <v>0</v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  <c r="AL4" s="9" t="n">
        <v>0</v>
      </c>
      <c r="AM4" s="9" t="n">
        <v>0</v>
      </c>
      <c r="AN4" s="9" t="n">
        <v>0</v>
      </c>
      <c r="AO4" s="9" t="n">
        <v>0</v>
      </c>
      <c r="AP4" s="9" t="n">
        <v>0</v>
      </c>
      <c r="AQ4" s="9" t="n">
        <v>0</v>
      </c>
      <c r="AR4" s="9" t="n">
        <v>0</v>
      </c>
      <c r="AS4" s="9" t="n">
        <v>0</v>
      </c>
    </row>
    <row r="5" customFormat="false" ht="18" hidden="false" customHeight="true" outlineLevel="0" collapsed="false">
      <c r="A5" s="27" t="s">
        <v>82</v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-223000</v>
      </c>
      <c r="G5" s="9" t="n">
        <v>-200000</v>
      </c>
      <c r="H5" s="9" t="n">
        <v>-161000</v>
      </c>
      <c r="I5" s="9" t="n">
        <v>-200000</v>
      </c>
      <c r="J5" s="9" t="n">
        <v>-206100</v>
      </c>
      <c r="K5" s="9" t="n">
        <v>-200000</v>
      </c>
      <c r="L5" s="9" t="n">
        <v>-200000</v>
      </c>
      <c r="M5" s="9" t="n">
        <v>-220000</v>
      </c>
      <c r="N5" s="9" t="n">
        <v>-220000</v>
      </c>
      <c r="O5" s="9" t="n">
        <v>-170000</v>
      </c>
      <c r="P5" s="9" t="n">
        <v>-170000</v>
      </c>
      <c r="Q5" s="9" t="n">
        <v>-170000</v>
      </c>
      <c r="R5" s="9" t="n">
        <v>-170000</v>
      </c>
      <c r="S5" s="9" t="n">
        <v>-200000</v>
      </c>
      <c r="T5" s="9" t="n">
        <v>-200000</v>
      </c>
      <c r="U5" s="9" t="n">
        <v>-200000</v>
      </c>
      <c r="V5" s="9" t="n">
        <v>-200000</v>
      </c>
      <c r="W5" s="9" t="n">
        <v>-200000</v>
      </c>
      <c r="X5" s="9" t="n">
        <v>-220000</v>
      </c>
      <c r="Y5" s="9" t="n">
        <v>0</v>
      </c>
      <c r="Z5" s="9" t="n">
        <v>0</v>
      </c>
      <c r="AA5" s="9" t="n">
        <v>0</v>
      </c>
      <c r="AB5" s="9" t="n">
        <v>0</v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  <c r="AL5" s="9" t="n">
        <v>0</v>
      </c>
      <c r="AM5" s="9" t="n">
        <v>0</v>
      </c>
      <c r="AN5" s="9" t="n">
        <v>0</v>
      </c>
      <c r="AO5" s="9" t="n">
        <v>0</v>
      </c>
      <c r="AP5" s="9" t="n">
        <v>0</v>
      </c>
      <c r="AQ5" s="9" t="n">
        <v>0</v>
      </c>
      <c r="AR5" s="9" t="n">
        <v>0</v>
      </c>
      <c r="AS5" s="9" t="n">
        <v>0</v>
      </c>
    </row>
    <row r="6" customFormat="false" ht="18" hidden="false" customHeight="true" outlineLevel="0" collapsed="false">
      <c r="A6" s="27" t="s">
        <v>83</v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-136300</v>
      </c>
      <c r="I6" s="9" t="n">
        <v>-97000</v>
      </c>
      <c r="J6" s="9" t="n">
        <v>-79000</v>
      </c>
      <c r="K6" s="9" t="n">
        <v>-100000</v>
      </c>
      <c r="L6" s="9" t="n">
        <v>-87000</v>
      </c>
      <c r="M6" s="9" t="n">
        <v>-89000</v>
      </c>
      <c r="N6" s="9" t="n">
        <v>-100000</v>
      </c>
      <c r="O6" s="9" t="n">
        <v>-98000</v>
      </c>
      <c r="P6" s="9" t="n">
        <v>-109000</v>
      </c>
      <c r="Q6" s="9" t="n">
        <v>-110000</v>
      </c>
      <c r="R6" s="9" t="n">
        <v>-110000</v>
      </c>
      <c r="S6" s="9" t="n">
        <v>-110000</v>
      </c>
      <c r="T6" s="9" t="n">
        <v>-110000</v>
      </c>
      <c r="U6" s="9" t="n">
        <v>-110000</v>
      </c>
      <c r="V6" s="9" t="n">
        <v>-110000</v>
      </c>
      <c r="W6" s="9" t="n">
        <v>-110000</v>
      </c>
      <c r="X6" s="9" t="n">
        <v>-110000</v>
      </c>
      <c r="Y6" s="9" t="n">
        <v>0</v>
      </c>
      <c r="Z6" s="9" t="n">
        <v>0</v>
      </c>
      <c r="AA6" s="9" t="n">
        <v>0</v>
      </c>
      <c r="AB6" s="9" t="n">
        <v>0</v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</row>
    <row r="7" customFormat="false" ht="18" hidden="false" customHeight="true" outlineLevel="0" collapsed="false">
      <c r="A7" s="27" t="s">
        <v>84</v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-75000</v>
      </c>
      <c r="I7" s="9" t="n">
        <v>-70000</v>
      </c>
      <c r="J7" s="9" t="n">
        <v>-75000</v>
      </c>
      <c r="K7" s="9" t="n">
        <v>-100000</v>
      </c>
      <c r="L7" s="9" t="n">
        <v>0</v>
      </c>
      <c r="M7" s="9" t="n">
        <v>0</v>
      </c>
      <c r="N7" s="9" t="n">
        <v>0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V7" s="9" t="n">
        <v>0</v>
      </c>
      <c r="W7" s="9" t="n">
        <v>0</v>
      </c>
      <c r="X7" s="9" t="n">
        <v>0</v>
      </c>
      <c r="Y7" s="9" t="n">
        <v>0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9" t="n">
        <v>0</v>
      </c>
      <c r="AO7" s="9" t="n">
        <v>0</v>
      </c>
      <c r="AP7" s="9" t="n">
        <v>0</v>
      </c>
      <c r="AQ7" s="9" t="n">
        <v>0</v>
      </c>
      <c r="AR7" s="9" t="n">
        <v>0</v>
      </c>
      <c r="AS7" s="9" t="n">
        <v>0</v>
      </c>
    </row>
    <row r="8" customFormat="false" ht="18" hidden="false" customHeight="true" outlineLevel="0" collapsed="false">
      <c r="A8" s="27" t="s">
        <v>85</v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-21000</v>
      </c>
      <c r="J8" s="9" t="n">
        <v>-18000</v>
      </c>
      <c r="K8" s="9" t="n">
        <v>-18000</v>
      </c>
      <c r="L8" s="9" t="n">
        <v>-18000</v>
      </c>
      <c r="M8" s="9" t="n">
        <v>-20000</v>
      </c>
      <c r="N8" s="9" t="n">
        <v>-22000</v>
      </c>
      <c r="O8" s="9" t="n">
        <v>-21000</v>
      </c>
      <c r="P8" s="9" t="n">
        <v>-21000</v>
      </c>
      <c r="Q8" s="9" t="n">
        <v>-27880</v>
      </c>
      <c r="R8" s="9" t="n">
        <v>-27880</v>
      </c>
      <c r="S8" s="9" t="n">
        <v>-27880</v>
      </c>
      <c r="T8" s="9" t="n">
        <v>-27880</v>
      </c>
      <c r="U8" s="9" t="n">
        <v>-27880</v>
      </c>
      <c r="V8" s="9" t="n">
        <v>-27880</v>
      </c>
      <c r="W8" s="9" t="n">
        <v>-27880</v>
      </c>
      <c r="X8" s="9" t="n">
        <v>-22000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9" t="n">
        <v>0</v>
      </c>
      <c r="AO8" s="9" t="n">
        <v>0</v>
      </c>
      <c r="AP8" s="9" t="n">
        <v>0</v>
      </c>
      <c r="AQ8" s="9" t="n">
        <v>0</v>
      </c>
      <c r="AR8" s="9" t="n">
        <v>0</v>
      </c>
      <c r="AS8" s="9" t="n">
        <v>0</v>
      </c>
    </row>
    <row r="9" customFormat="false" ht="18" hidden="false" customHeight="true" outlineLevel="0" collapsed="false">
      <c r="A9" s="27" t="s">
        <v>86</v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-89600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  <c r="AI9" s="9" t="n">
        <v>0</v>
      </c>
      <c r="AJ9" s="9" t="n">
        <v>0</v>
      </c>
      <c r="AK9" s="9" t="n">
        <v>0</v>
      </c>
      <c r="AL9" s="9" t="n">
        <v>0</v>
      </c>
      <c r="AM9" s="9" t="n">
        <v>0</v>
      </c>
      <c r="AN9" s="9" t="n">
        <v>0</v>
      </c>
      <c r="AO9" s="9" t="n">
        <v>0</v>
      </c>
      <c r="AP9" s="9" t="n">
        <v>0</v>
      </c>
      <c r="AQ9" s="9" t="n">
        <v>0</v>
      </c>
      <c r="AR9" s="9" t="n">
        <v>0</v>
      </c>
      <c r="AS9" s="9" t="n">
        <v>0</v>
      </c>
    </row>
    <row r="10" customFormat="false" ht="18" hidden="false" customHeight="true" outlineLevel="0" collapsed="false">
      <c r="A10" s="27" t="s">
        <v>87</v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-55804</v>
      </c>
      <c r="O10" s="9" t="n">
        <v>-18601.26</v>
      </c>
      <c r="P10" s="9" t="n">
        <v>-18601.26</v>
      </c>
      <c r="Q10" s="9" t="n">
        <v>-18601.26</v>
      </c>
      <c r="R10" s="9" t="n">
        <v>-18601.26</v>
      </c>
      <c r="S10" s="9" t="n">
        <v>-18601.26</v>
      </c>
      <c r="T10" s="9" t="n">
        <v>-18601.26</v>
      </c>
      <c r="U10" s="9" t="n">
        <v>-18601.26</v>
      </c>
      <c r="V10" s="9" t="n">
        <v>-18601.26</v>
      </c>
      <c r="W10" s="9" t="n">
        <v>-18601.26</v>
      </c>
      <c r="X10" s="9" t="n">
        <v>-18601.26</v>
      </c>
      <c r="Y10" s="9" t="n">
        <v>0</v>
      </c>
      <c r="Z10" s="9" t="n">
        <v>0</v>
      </c>
      <c r="AA10" s="9" t="n">
        <v>0</v>
      </c>
      <c r="AB10" s="9" t="n">
        <v>0</v>
      </c>
      <c r="AC10" s="9" t="n">
        <v>0</v>
      </c>
      <c r="AD10" s="9" t="n">
        <v>0</v>
      </c>
      <c r="AE10" s="9" t="n">
        <v>0</v>
      </c>
      <c r="AF10" s="9" t="n">
        <v>0</v>
      </c>
      <c r="AG10" s="9" t="n">
        <v>0</v>
      </c>
      <c r="AH10" s="9" t="n">
        <v>0</v>
      </c>
      <c r="AI10" s="9" t="n">
        <v>0</v>
      </c>
      <c r="AJ10" s="9" t="n">
        <v>0</v>
      </c>
      <c r="AK10" s="9" t="n">
        <v>0</v>
      </c>
      <c r="AL10" s="9" t="n">
        <v>0</v>
      </c>
      <c r="AM10" s="9" t="n">
        <v>0</v>
      </c>
      <c r="AN10" s="9" t="n">
        <v>0</v>
      </c>
      <c r="AO10" s="9" t="n">
        <v>0</v>
      </c>
      <c r="AP10" s="9" t="n">
        <v>0</v>
      </c>
      <c r="AQ10" s="9" t="n">
        <v>0</v>
      </c>
      <c r="AR10" s="9" t="n">
        <v>0</v>
      </c>
      <c r="AS10" s="9" t="n">
        <v>0</v>
      </c>
    </row>
    <row r="11" customFormat="false" ht="15" hidden="false" customHeight="false" outlineLevel="0" collapsed="false">
      <c r="A11" s="28" t="s">
        <v>72</v>
      </c>
      <c r="B11" s="29" t="n">
        <f aca="false">SUM(B4:B10)</f>
        <v>0</v>
      </c>
      <c r="C11" s="29" t="n">
        <f aca="false">SUM(C4:C10)</f>
        <v>0</v>
      </c>
      <c r="D11" s="29" t="n">
        <f aca="false">SUM(D4:D10)</f>
        <v>0</v>
      </c>
      <c r="E11" s="29" t="n">
        <f aca="false">SUM(E4:E10)</f>
        <v>-24000</v>
      </c>
      <c r="F11" s="29" t="n">
        <f aca="false">SUM(F4:F10)</f>
        <v>-247000</v>
      </c>
      <c r="G11" s="29" t="n">
        <f aca="false">SUM(G4:G10)</f>
        <v>-231200</v>
      </c>
      <c r="H11" s="29" t="n">
        <f aca="false">SUM(H4:H10)</f>
        <v>-430800</v>
      </c>
      <c r="I11" s="29" t="n">
        <f aca="false">SUM(I4:I10)</f>
        <v>-419200</v>
      </c>
      <c r="J11" s="29" t="n">
        <f aca="false">SUM(J4:J10)</f>
        <v>-409300</v>
      </c>
      <c r="K11" s="29" t="n">
        <f aca="false">SUM(K4:K10)</f>
        <v>-450500</v>
      </c>
      <c r="L11" s="29" t="n">
        <f aca="false">SUM(L4:L10)</f>
        <v>-340000</v>
      </c>
      <c r="M11" s="29" t="n">
        <f aca="false">SUM(M4:M10)</f>
        <v>-453600</v>
      </c>
      <c r="N11" s="29" t="n">
        <f aca="false">SUM(N4:N10)</f>
        <v>-432804</v>
      </c>
      <c r="O11" s="29" t="n">
        <f aca="false">SUM(O4:O10)</f>
        <v>-342601.26</v>
      </c>
      <c r="P11" s="29" t="n">
        <f aca="false">SUM(P4:P10)</f>
        <v>-353601.26</v>
      </c>
      <c r="Q11" s="29" t="n">
        <f aca="false">SUM(Q4:Q10)</f>
        <v>-326481.26</v>
      </c>
      <c r="R11" s="29" t="n">
        <f aca="false">SUM(R4:R10)</f>
        <v>-361481.26</v>
      </c>
      <c r="S11" s="29" t="n">
        <f aca="false">SUM(S4:S10)</f>
        <v>-391481.26</v>
      </c>
      <c r="T11" s="29" t="n">
        <f aca="false">SUM(T4:T10)</f>
        <v>-391481.26</v>
      </c>
      <c r="U11" s="29" t="n">
        <f aca="false">SUM(U4:U10)</f>
        <v>-391481.26</v>
      </c>
      <c r="V11" s="29" t="n">
        <f aca="false">SUM(V4:V10)</f>
        <v>-391481.26</v>
      </c>
      <c r="W11" s="29" t="n">
        <f aca="false">SUM(W4:W10)</f>
        <v>-391481.26</v>
      </c>
      <c r="X11" s="29" t="n">
        <f aca="false">SUM(X4:X10)</f>
        <v>-405601.26</v>
      </c>
      <c r="Y11" s="29" t="n">
        <f aca="false">SUM(Y4:Y10)</f>
        <v>0</v>
      </c>
      <c r="Z11" s="29" t="n">
        <f aca="false">SUM(Z4:Z10)</f>
        <v>0</v>
      </c>
      <c r="AA11" s="29" t="n">
        <f aca="false">SUM(AA4:AA10)</f>
        <v>0</v>
      </c>
      <c r="AB11" s="29" t="n">
        <f aca="false">SUM(AB4:AB10)</f>
        <v>0</v>
      </c>
      <c r="AC11" s="29" t="n">
        <f aca="false">SUM(AC4:AC10)</f>
        <v>0</v>
      </c>
      <c r="AD11" s="29" t="n">
        <f aca="false">SUM(AD4:AD10)</f>
        <v>0</v>
      </c>
      <c r="AE11" s="29" t="n">
        <f aca="false">SUM(AE4:AE10)</f>
        <v>0</v>
      </c>
      <c r="AF11" s="29" t="n">
        <f aca="false">SUM(AF4:AF10)</f>
        <v>0</v>
      </c>
      <c r="AG11" s="29" t="n">
        <f aca="false">SUM(AG4:AG10)</f>
        <v>0</v>
      </c>
      <c r="AH11" s="29" t="n">
        <f aca="false">SUM(AH4:AH10)</f>
        <v>0</v>
      </c>
      <c r="AI11" s="29" t="n">
        <f aca="false">SUM(AI4:AI10)</f>
        <v>0</v>
      </c>
      <c r="AJ11" s="29" t="n">
        <f aca="false">SUM(AJ4:AJ10)</f>
        <v>0</v>
      </c>
      <c r="AK11" s="29" t="n">
        <f aca="false">SUM(AK4:AK10)</f>
        <v>0</v>
      </c>
      <c r="AL11" s="29" t="n">
        <f aca="false">SUM(AL4:AL10)</f>
        <v>0</v>
      </c>
      <c r="AM11" s="29" t="n">
        <f aca="false">SUM(AM4:AM10)</f>
        <v>0</v>
      </c>
      <c r="AN11" s="29" t="n">
        <f aca="false">SUM(AN4:AN10)</f>
        <v>0</v>
      </c>
      <c r="AO11" s="29" t="n">
        <f aca="false">SUM(AO4:AO10)</f>
        <v>0</v>
      </c>
      <c r="AP11" s="29" t="n">
        <f aca="false">SUM(AP4:AP10)</f>
        <v>0</v>
      </c>
      <c r="AQ11" s="29" t="n">
        <f aca="false">SUM(AQ4:AQ10)</f>
        <v>0</v>
      </c>
      <c r="AR11" s="29" t="n">
        <f aca="false">SUM(AR4:AR10)</f>
        <v>0</v>
      </c>
      <c r="AS11" s="29" t="n">
        <f aca="false">SUM(AS4:AS10)</f>
        <v>0</v>
      </c>
    </row>
  </sheetData>
  <mergeCells count="1">
    <mergeCell ref="A3:A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O3" activePane="bottomRight" state="frozen"/>
      <selection pane="topLeft" activeCell="A1" activeCellId="0" sqref="A1"/>
      <selection pane="topRight" activeCell="O1" activeCellId="0" sqref="O1"/>
      <selection pane="bottomLeft" activeCell="A3" activeCellId="0" sqref="A3"/>
      <selection pane="bottomRight" activeCell="X11" activeCellId="0" sqref="X1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30" t="s">
        <v>88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</row>
    <row r="4" customFormat="false" ht="18" hidden="false" customHeight="true" outlineLevel="0" collapsed="false">
      <c r="A4" s="31" t="s">
        <v>89</v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-50000</v>
      </c>
      <c r="L4" s="11" t="n">
        <v>0</v>
      </c>
      <c r="M4" s="11" t="n"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v>0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v>0</v>
      </c>
      <c r="AI4" s="11" t="n">
        <v>0</v>
      </c>
      <c r="AJ4" s="11" t="n">
        <v>0</v>
      </c>
      <c r="AK4" s="11" t="n">
        <v>0</v>
      </c>
      <c r="AL4" s="11" t="n">
        <v>0</v>
      </c>
      <c r="AM4" s="11" t="n">
        <v>0</v>
      </c>
      <c r="AN4" s="11" t="n">
        <v>0</v>
      </c>
      <c r="AO4" s="11" t="n">
        <v>0</v>
      </c>
      <c r="AP4" s="11" t="n">
        <v>0</v>
      </c>
      <c r="AQ4" s="11" t="n">
        <v>0</v>
      </c>
      <c r="AR4" s="11" t="n">
        <v>0</v>
      </c>
      <c r="AS4" s="11" t="n">
        <v>0</v>
      </c>
    </row>
    <row r="5" customFormat="false" ht="18" hidden="false" customHeight="true" outlineLevel="0" collapsed="false">
      <c r="A5" s="31" t="s">
        <v>90</v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-250000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-350000</v>
      </c>
      <c r="AA5" s="11" t="n"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v>0</v>
      </c>
      <c r="AI5" s="11" t="n">
        <v>0</v>
      </c>
      <c r="AJ5" s="11" t="n">
        <v>0</v>
      </c>
      <c r="AK5" s="11" t="n">
        <v>0</v>
      </c>
      <c r="AL5" s="11" t="n">
        <v>0</v>
      </c>
      <c r="AM5" s="11" t="n">
        <v>0</v>
      </c>
      <c r="AN5" s="11" t="n">
        <v>0</v>
      </c>
      <c r="AO5" s="11" t="n">
        <v>0</v>
      </c>
      <c r="AP5" s="11" t="n">
        <v>0</v>
      </c>
      <c r="AQ5" s="11" t="n">
        <v>0</v>
      </c>
      <c r="AR5" s="11" t="n">
        <v>0</v>
      </c>
      <c r="AS5" s="11" t="n">
        <v>0</v>
      </c>
    </row>
    <row r="6" customFormat="false" ht="18" hidden="false" customHeight="true" outlineLevel="0" collapsed="false">
      <c r="A6" s="31" t="s">
        <v>91</v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  <c r="V6" s="11" t="n">
        <v>0</v>
      </c>
      <c r="W6" s="11" t="n">
        <v>0</v>
      </c>
      <c r="X6" s="11" t="n">
        <v>0</v>
      </c>
      <c r="Y6" s="11" t="n">
        <v>0</v>
      </c>
      <c r="Z6" s="11" t="n">
        <v>0</v>
      </c>
      <c r="AA6" s="11" t="n">
        <v>0</v>
      </c>
      <c r="AB6" s="11" t="n">
        <v>0</v>
      </c>
      <c r="AC6" s="11" t="n">
        <v>0</v>
      </c>
      <c r="AD6" s="11" t="n">
        <v>0</v>
      </c>
      <c r="AE6" s="11" t="n">
        <v>0</v>
      </c>
      <c r="AF6" s="11" t="n">
        <v>0</v>
      </c>
      <c r="AG6" s="11" t="n">
        <v>0</v>
      </c>
      <c r="AH6" s="11" t="n">
        <v>0</v>
      </c>
      <c r="AI6" s="11" t="n">
        <v>0</v>
      </c>
      <c r="AJ6" s="11" t="n">
        <v>0</v>
      </c>
      <c r="AK6" s="11" t="n">
        <v>0</v>
      </c>
      <c r="AL6" s="11" t="n">
        <v>0</v>
      </c>
      <c r="AM6" s="11" t="n">
        <v>0</v>
      </c>
      <c r="AN6" s="11" t="n">
        <v>0</v>
      </c>
      <c r="AO6" s="11" t="n">
        <v>0</v>
      </c>
      <c r="AP6" s="11" t="n">
        <v>0</v>
      </c>
      <c r="AQ6" s="11" t="n">
        <v>0</v>
      </c>
      <c r="AR6" s="11" t="n">
        <v>0</v>
      </c>
      <c r="AS6" s="11" t="n">
        <v>0</v>
      </c>
    </row>
    <row r="7" customFormat="false" ht="18" hidden="false" customHeight="true" outlineLevel="0" collapsed="false">
      <c r="A7" s="31" t="s">
        <v>92</v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-200000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v>0</v>
      </c>
      <c r="AI7" s="11" t="n">
        <v>0</v>
      </c>
      <c r="AJ7" s="11" t="n">
        <v>0</v>
      </c>
      <c r="AK7" s="11" t="n">
        <v>0</v>
      </c>
      <c r="AL7" s="11" t="n">
        <v>0</v>
      </c>
      <c r="AM7" s="11" t="n">
        <v>0</v>
      </c>
      <c r="AN7" s="11" t="n">
        <v>0</v>
      </c>
      <c r="AO7" s="11" t="n">
        <v>0</v>
      </c>
      <c r="AP7" s="11" t="n">
        <v>0</v>
      </c>
      <c r="AQ7" s="11" t="n">
        <v>0</v>
      </c>
      <c r="AR7" s="11" t="n">
        <v>0</v>
      </c>
      <c r="AS7" s="11" t="n">
        <v>0</v>
      </c>
    </row>
    <row r="8" customFormat="false" ht="18" hidden="false" customHeight="true" outlineLevel="0" collapsed="false">
      <c r="A8" s="31" t="s">
        <v>93</v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-85000</v>
      </c>
      <c r="R8" s="11" t="n">
        <v>-70000</v>
      </c>
      <c r="S8" s="11" t="n">
        <v>-70000</v>
      </c>
      <c r="T8" s="11" t="n">
        <v>-70000</v>
      </c>
      <c r="U8" s="11" t="n">
        <v>-70000</v>
      </c>
      <c r="V8" s="11" t="n">
        <v>-70000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v>0</v>
      </c>
      <c r="AI8" s="11" t="n">
        <v>0</v>
      </c>
      <c r="AJ8" s="11" t="n">
        <v>0</v>
      </c>
      <c r="AK8" s="11" t="n">
        <v>0</v>
      </c>
      <c r="AL8" s="11" t="n">
        <v>0</v>
      </c>
      <c r="AM8" s="11" t="n">
        <v>0</v>
      </c>
      <c r="AN8" s="11" t="n">
        <v>0</v>
      </c>
      <c r="AO8" s="11" t="n">
        <v>0</v>
      </c>
      <c r="AP8" s="11" t="n">
        <v>0</v>
      </c>
      <c r="AQ8" s="11" t="n">
        <v>0</v>
      </c>
      <c r="AR8" s="11" t="n">
        <v>0</v>
      </c>
      <c r="AS8" s="11" t="n">
        <v>0</v>
      </c>
    </row>
    <row r="9" customFormat="false" ht="18" hidden="false" customHeight="true" outlineLevel="0" collapsed="false">
      <c r="A9" s="31" t="s">
        <v>94</v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500000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665000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950000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1250000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v>0</v>
      </c>
      <c r="AI9" s="11" t="n">
        <v>0</v>
      </c>
      <c r="AJ9" s="11" t="n">
        <v>0</v>
      </c>
      <c r="AK9" s="11" t="n">
        <v>0</v>
      </c>
      <c r="AL9" s="11" t="n">
        <v>0</v>
      </c>
      <c r="AM9" s="11" t="n">
        <v>0</v>
      </c>
      <c r="AN9" s="11" t="n">
        <v>0</v>
      </c>
      <c r="AO9" s="11" t="n">
        <v>0</v>
      </c>
      <c r="AP9" s="11" t="n">
        <v>0</v>
      </c>
      <c r="AQ9" s="11" t="n">
        <v>0</v>
      </c>
      <c r="AR9" s="11" t="n">
        <v>0</v>
      </c>
      <c r="AS9" s="11" t="n">
        <v>0</v>
      </c>
    </row>
    <row r="10" customFormat="false" ht="18" hidden="false" customHeight="true" outlineLevel="0" collapsed="false">
      <c r="A10" s="31" t="s">
        <v>95</v>
      </c>
      <c r="B10" s="11" t="n">
        <v>0</v>
      </c>
      <c r="C10" s="11" t="n">
        <v>0</v>
      </c>
      <c r="D10" s="11" t="n">
        <v>0</v>
      </c>
      <c r="E10" s="11" t="n">
        <v>0</v>
      </c>
      <c r="F10" s="11" t="n">
        <v>-760000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v>0</v>
      </c>
      <c r="U10" s="11" t="n">
        <v>0</v>
      </c>
      <c r="V10" s="11" t="n">
        <v>0</v>
      </c>
      <c r="W10" s="11" t="n">
        <v>0</v>
      </c>
      <c r="X10" s="11" t="s">
        <v>96</v>
      </c>
      <c r="Y10" s="11" t="n">
        <v>0</v>
      </c>
      <c r="Z10" s="11" t="n">
        <v>0</v>
      </c>
      <c r="AA10" s="11" t="n"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v>0</v>
      </c>
      <c r="AI10" s="11" t="n">
        <v>0</v>
      </c>
      <c r="AJ10" s="11" t="n">
        <v>0</v>
      </c>
      <c r="AK10" s="11" t="n">
        <v>0</v>
      </c>
      <c r="AL10" s="11" t="n">
        <v>0</v>
      </c>
      <c r="AM10" s="11" t="n">
        <v>0</v>
      </c>
      <c r="AN10" s="11" t="n">
        <v>0</v>
      </c>
      <c r="AO10" s="11" t="n">
        <v>0</v>
      </c>
      <c r="AP10" s="11" t="n">
        <v>0</v>
      </c>
      <c r="AQ10" s="11" t="n">
        <v>0</v>
      </c>
      <c r="AR10" s="11" t="n">
        <v>0</v>
      </c>
      <c r="AS10" s="11" t="n">
        <v>0</v>
      </c>
    </row>
    <row r="11" customFormat="false" ht="18" hidden="false" customHeight="true" outlineLevel="0" collapsed="false">
      <c r="A11" s="31" t="s">
        <v>97</v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-32000</v>
      </c>
      <c r="M11" s="11" t="n">
        <v>-34000</v>
      </c>
      <c r="N11" s="11" t="n">
        <v>-35000</v>
      </c>
      <c r="O11" s="11" t="n">
        <v>-35000</v>
      </c>
      <c r="P11" s="11" t="n">
        <v>-35000</v>
      </c>
      <c r="Q11" s="11" t="n">
        <v>-35000</v>
      </c>
      <c r="R11" s="11" t="n">
        <v>-35000</v>
      </c>
      <c r="S11" s="11" t="n">
        <v>-35000</v>
      </c>
      <c r="T11" s="11" t="n">
        <v>-35000</v>
      </c>
      <c r="U11" s="11" t="n">
        <v>-35000</v>
      </c>
      <c r="V11" s="11" t="n">
        <v>-35000</v>
      </c>
      <c r="W11" s="11" t="n">
        <v>-35000</v>
      </c>
      <c r="X11" s="11" t="n">
        <v>-35000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v>0</v>
      </c>
      <c r="AI11" s="11" t="n">
        <v>0</v>
      </c>
      <c r="AJ11" s="11" t="n">
        <v>0</v>
      </c>
      <c r="AK11" s="11" t="n">
        <v>0</v>
      </c>
      <c r="AL11" s="11" t="n">
        <v>0</v>
      </c>
      <c r="AM11" s="11" t="n">
        <v>0</v>
      </c>
      <c r="AN11" s="11" t="n">
        <v>0</v>
      </c>
      <c r="AO11" s="11" t="n">
        <v>0</v>
      </c>
      <c r="AP11" s="11" t="n">
        <v>0</v>
      </c>
      <c r="AQ11" s="11" t="n">
        <v>0</v>
      </c>
      <c r="AR11" s="11" t="n">
        <v>0</v>
      </c>
      <c r="AS11" s="11" t="n">
        <v>0</v>
      </c>
    </row>
    <row r="12" customFormat="false" ht="18" hidden="false" customHeight="true" outlineLevel="0" collapsed="false">
      <c r="A12" s="31" t="s">
        <v>98</v>
      </c>
      <c r="B12" s="11" t="n">
        <v>0</v>
      </c>
      <c r="C12" s="11" t="n">
        <v>0</v>
      </c>
      <c r="D12" s="11" t="n">
        <v>0</v>
      </c>
      <c r="E12" s="11" t="n">
        <v>0</v>
      </c>
      <c r="F12" s="11" t="n">
        <v>-380000</v>
      </c>
      <c r="G12" s="11" t="n">
        <v>-380000</v>
      </c>
      <c r="H12" s="11" t="n">
        <v>-380000</v>
      </c>
      <c r="I12" s="11" t="n">
        <v>-402860</v>
      </c>
      <c r="J12" s="11" t="n">
        <v>-402860</v>
      </c>
      <c r="K12" s="11" t="n">
        <v>-402860</v>
      </c>
      <c r="L12" s="11" t="n">
        <v>-435000</v>
      </c>
      <c r="M12" s="11" t="n">
        <v>-435000</v>
      </c>
      <c r="N12" s="11" t="n">
        <v>-435000</v>
      </c>
      <c r="O12" s="11" t="n">
        <v>-470000</v>
      </c>
      <c r="P12" s="11" t="n">
        <v>-470000</v>
      </c>
      <c r="Q12" s="11" t="n">
        <v>-470000</v>
      </c>
      <c r="R12" s="11" t="n">
        <v>-515000</v>
      </c>
      <c r="S12" s="11" t="n">
        <v>-515000</v>
      </c>
      <c r="T12" s="11" t="n">
        <v>-515000</v>
      </c>
      <c r="U12" s="11" t="n">
        <v>-535000</v>
      </c>
      <c r="V12" s="11" t="n">
        <v>-535000</v>
      </c>
      <c r="W12" s="11" t="n">
        <v>-535000</v>
      </c>
      <c r="X12" s="11" t="n">
        <v>-567000</v>
      </c>
      <c r="Y12" s="11" t="n">
        <v>0</v>
      </c>
      <c r="Z12" s="11" t="n">
        <v>0</v>
      </c>
      <c r="AA12" s="11" t="n">
        <v>0</v>
      </c>
      <c r="AB12" s="11" t="n">
        <v>0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v>0</v>
      </c>
      <c r="AI12" s="11" t="n">
        <v>0</v>
      </c>
      <c r="AJ12" s="11" t="n">
        <v>0</v>
      </c>
      <c r="AK12" s="11" t="n">
        <v>0</v>
      </c>
      <c r="AL12" s="11" t="n">
        <v>0</v>
      </c>
      <c r="AM12" s="11" t="n">
        <v>0</v>
      </c>
      <c r="AN12" s="11" t="n">
        <v>0</v>
      </c>
      <c r="AO12" s="11" t="n">
        <v>0</v>
      </c>
      <c r="AP12" s="11" t="n">
        <v>0</v>
      </c>
      <c r="AQ12" s="11" t="n">
        <v>0</v>
      </c>
      <c r="AR12" s="11" t="n">
        <v>0</v>
      </c>
      <c r="AS12" s="11" t="n">
        <v>0</v>
      </c>
    </row>
    <row r="13" customFormat="false" ht="15" hidden="false" customHeight="false" outlineLevel="0" collapsed="false">
      <c r="A13" s="32" t="s">
        <v>72</v>
      </c>
      <c r="B13" s="33" t="n">
        <f aca="false">SUM(B4:B12)</f>
        <v>0</v>
      </c>
      <c r="C13" s="33" t="n">
        <f aca="false">SUM(C4:C12)</f>
        <v>0</v>
      </c>
      <c r="D13" s="33" t="n">
        <f aca="false">SUM(D4:D12)</f>
        <v>0</v>
      </c>
      <c r="E13" s="33" t="n">
        <f aca="false">SUM(E4:E12)</f>
        <v>0</v>
      </c>
      <c r="F13" s="33" t="n">
        <f aca="false">SUM(F4:F12)</f>
        <v>-640000</v>
      </c>
      <c r="G13" s="33" t="n">
        <f aca="false">SUM(G4:G12)</f>
        <v>-380000</v>
      </c>
      <c r="H13" s="33" t="n">
        <f aca="false">SUM(H4:H12)</f>
        <v>-380000</v>
      </c>
      <c r="I13" s="33" t="n">
        <f aca="false">SUM(I4:I12)</f>
        <v>-402860</v>
      </c>
      <c r="J13" s="33" t="n">
        <f aca="false">SUM(J4:J12)</f>
        <v>-402860</v>
      </c>
      <c r="K13" s="33" t="n">
        <f aca="false">SUM(K4:K12)</f>
        <v>-37860</v>
      </c>
      <c r="L13" s="33" t="n">
        <f aca="false">SUM(L4:L12)</f>
        <v>-467000</v>
      </c>
      <c r="M13" s="33" t="n">
        <f aca="false">SUM(M4:M12)</f>
        <v>-469000</v>
      </c>
      <c r="N13" s="33" t="n">
        <f aca="false">SUM(N4:N12)</f>
        <v>-470000</v>
      </c>
      <c r="O13" s="33" t="n">
        <f aca="false">SUM(O4:O12)</f>
        <v>-505000</v>
      </c>
      <c r="P13" s="33" t="n">
        <f aca="false">SUM(P4:P12)</f>
        <v>-505000</v>
      </c>
      <c r="Q13" s="33" t="n">
        <f aca="false">SUM(Q4:Q12)</f>
        <v>-590000</v>
      </c>
      <c r="R13" s="33" t="n">
        <f aca="false">SUM(R4:R12)</f>
        <v>130000</v>
      </c>
      <c r="S13" s="33" t="n">
        <f aca="false">SUM(S4:S12)</f>
        <v>-620000</v>
      </c>
      <c r="T13" s="33" t="n">
        <f aca="false">SUM(T4:T12)</f>
        <v>-620000</v>
      </c>
      <c r="U13" s="33" t="n">
        <f aca="false">SUM(U4:U12)</f>
        <v>-640000</v>
      </c>
      <c r="V13" s="33" t="n">
        <f aca="false">SUM(V4:V12)</f>
        <v>-640000</v>
      </c>
      <c r="W13" s="33" t="n">
        <f aca="false">SUM(W4:W12)</f>
        <v>-570000</v>
      </c>
      <c r="X13" s="33" t="n">
        <f aca="false">SUM(X4:X12)</f>
        <v>648000</v>
      </c>
      <c r="Y13" s="33" t="n">
        <f aca="false">SUM(Y4:Y12)</f>
        <v>0</v>
      </c>
      <c r="Z13" s="33" t="n">
        <f aca="false">SUM(Z4:Z12)</f>
        <v>-350000</v>
      </c>
      <c r="AA13" s="33" t="n">
        <f aca="false">SUM(AA4:AA12)</f>
        <v>0</v>
      </c>
      <c r="AB13" s="33" t="n">
        <f aca="false">SUM(AB4:AB12)</f>
        <v>0</v>
      </c>
      <c r="AC13" s="33" t="n">
        <f aca="false">SUM(AC4:AC12)</f>
        <v>0</v>
      </c>
      <c r="AD13" s="33" t="n">
        <f aca="false">SUM(AD4:AD12)</f>
        <v>0</v>
      </c>
      <c r="AE13" s="33" t="n">
        <f aca="false">SUM(AE4:AE12)</f>
        <v>0</v>
      </c>
      <c r="AF13" s="33" t="n">
        <f aca="false">SUM(AF4:AF12)</f>
        <v>0</v>
      </c>
      <c r="AG13" s="33" t="n">
        <f aca="false">SUM(AG4:AG12)</f>
        <v>0</v>
      </c>
      <c r="AH13" s="33" t="n">
        <f aca="false">SUM(AH4:AH12)</f>
        <v>0</v>
      </c>
      <c r="AI13" s="33" t="n">
        <f aca="false">SUM(AI4:AI12)</f>
        <v>0</v>
      </c>
      <c r="AJ13" s="33" t="n">
        <f aca="false">SUM(AJ4:AJ12)</f>
        <v>0</v>
      </c>
      <c r="AK13" s="33" t="n">
        <f aca="false">SUM(AK4:AK12)</f>
        <v>0</v>
      </c>
      <c r="AL13" s="33" t="n">
        <f aca="false">SUM(AL4:AL12)</f>
        <v>0</v>
      </c>
      <c r="AM13" s="33" t="n">
        <f aca="false">SUM(AM4:AM12)</f>
        <v>0</v>
      </c>
      <c r="AN13" s="33" t="n">
        <f aca="false">SUM(AN4:AN12)</f>
        <v>0</v>
      </c>
      <c r="AO13" s="33" t="n">
        <f aca="false">SUM(AO4:AO12)</f>
        <v>0</v>
      </c>
      <c r="AP13" s="33" t="n">
        <f aca="false">SUM(AP4:AP12)</f>
        <v>0</v>
      </c>
      <c r="AQ13" s="33" t="n">
        <f aca="false">SUM(AQ4:AQ12)</f>
        <v>0</v>
      </c>
      <c r="AR13" s="33" t="n">
        <f aca="false">SUM(AR4:AR12)</f>
        <v>0</v>
      </c>
      <c r="AS13" s="33" t="n">
        <f aca="false">SUM(AS4:AS12)</f>
        <v>0</v>
      </c>
    </row>
  </sheetData>
  <mergeCells count="1">
    <mergeCell ref="A3:A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8"/>
  </cols>
  <sheetData>
    <row r="1" customFormat="false" ht="15" hidden="false" customHeight="true" outlineLevel="0" collapsed="false">
      <c r="A1" s="3" t="s">
        <v>99</v>
      </c>
      <c r="B1" s="3"/>
      <c r="C1" s="3"/>
      <c r="D1" s="3"/>
    </row>
    <row r="2" customFormat="false" ht="15" hidden="false" customHeight="false" outlineLevel="0" collapsed="false">
      <c r="A2" s="34" t="s">
        <v>100</v>
      </c>
      <c r="B2" s="34" t="s">
        <v>101</v>
      </c>
      <c r="C2" s="34" t="s">
        <v>102</v>
      </c>
      <c r="D2" s="34" t="s">
        <v>103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2026-06-27T10:25:36Z</dcterms:created>
  <dc:creator>openpyxl</dc:creator>
  <dc:description/>
  <dc:language>en-US</dc:language>
  <cp:lastModifiedBy/>
  <dcterms:modified xsi:type="dcterms:W3CDTF">2026-06-28T16:08:33Z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