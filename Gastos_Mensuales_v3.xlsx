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 Principal" sheetId="1" state="visible" r:id="rId1"/>
    <sheet xmlns:r="http://schemas.openxmlformats.org/officeDocument/2006/relationships" name="Tarjetas_Bancos" sheetId="2" state="visible" r:id="rId2"/>
    <sheet xmlns:r="http://schemas.openxmlformats.org/officeDocument/2006/relationships" name="Gastos_Personales" sheetId="3" state="visible" r:id="rId3"/>
    <sheet xmlns:r="http://schemas.openxmlformats.org/officeDocument/2006/relationships" name="Hogar" sheetId="4" state="visible" r:id="rId4"/>
    <sheet xmlns:r="http://schemas.openxmlformats.org/officeDocument/2006/relationships" name="Deudas_Varios" sheetId="5" state="visible" r:id="rId5"/>
    <sheet xmlns:r="http://schemas.openxmlformats.org/officeDocument/2006/relationships" name="Refere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1"/>
    </font>
    <font>
      <name val="Arial"/>
      <b val="1"/>
      <sz val="10"/>
    </font>
    <font>
      <name val="Arial"/>
      <b val="1"/>
      <color rgb="00375623"/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090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E8E8E8"/>
      </patternFill>
    </fill>
    <fill>
      <patternFill patternType="solid">
        <fgColor rgb="001E5631"/>
      </patternFill>
    </fill>
    <fill>
      <patternFill patternType="solid">
        <fgColor rgb="00FFF2CC"/>
      </patternFill>
    </fill>
    <fill>
      <patternFill patternType="solid">
        <fgColor rgb="00B8D4E8"/>
      </patternFill>
    </fill>
    <fill>
      <patternFill patternType="solid">
        <fgColor rgb="00A8D4A8"/>
      </patternFill>
    </fill>
    <fill>
      <patternFill patternType="solid">
        <fgColor rgb="00C65911"/>
      </patternFill>
    </fill>
    <fill>
      <patternFill patternType="solid">
        <fgColor rgb="00F4C4A0"/>
      </patternFill>
    </fill>
    <fill>
      <patternFill patternType="solid">
        <fgColor rgb="004B0082"/>
      </patternFill>
    </fill>
    <fill>
      <patternFill patternType="solid">
        <fgColor rgb="00D4A8C8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164" fontId="7" fillId="8" borderId="1" applyAlignment="1" pivotButton="0" quotePrefix="0" xfId="0">
      <alignment horizontal="right" vertical="center"/>
    </xf>
    <xf numFmtId="0" fontId="3" fillId="9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164" fontId="7" fillId="11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164" fontId="7" fillId="12" borderId="1" applyAlignment="1" pivotButton="0" quotePrefix="0" xfId="0">
      <alignment horizontal="right" vertical="center"/>
    </xf>
    <xf numFmtId="0" fontId="3" fillId="13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164" fontId="7" fillId="14" borderId="1" applyAlignment="1" pivotButton="0" quotePrefix="0" xfId="0">
      <alignment horizontal="right" vertical="center"/>
    </xf>
    <xf numFmtId="0" fontId="3" fillId="15" borderId="0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/>
    </xf>
    <xf numFmtId="164" fontId="7" fillId="16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3" t="inlineStr">
        <is>
          <t>📊 RESUMEN DE GASTOS</t>
        </is>
      </c>
    </row>
    <row r="4" ht="18" customHeight="1">
      <c r="A4" s="4" t="inlineStr">
        <is>
          <t>Tarjetas &amp; Bancos</t>
        </is>
      </c>
      <c r="B4" s="5" t="n">
        <v>-1225870</v>
      </c>
      <c r="C4" s="5" t="n">
        <v>-589470</v>
      </c>
      <c r="D4" s="5" t="n">
        <v>-1535870</v>
      </c>
      <c r="E4" s="5" t="n">
        <v>-1329870</v>
      </c>
      <c r="F4" s="5" t="n">
        <v>-1070870</v>
      </c>
      <c r="G4" s="5" t="n">
        <v>-1356870</v>
      </c>
      <c r="H4" s="5" t="n">
        <v>-5064277</v>
      </c>
      <c r="I4" s="5" t="n">
        <v>-560000</v>
      </c>
      <c r="J4" s="5" t="n">
        <v>-1011000</v>
      </c>
      <c r="K4" s="5" t="n">
        <v>-1161000</v>
      </c>
      <c r="L4" s="5" t="n">
        <v>-761000</v>
      </c>
      <c r="M4" s="5" t="n">
        <v>-538000</v>
      </c>
      <c r="N4" s="5" t="n">
        <v>-724000</v>
      </c>
      <c r="O4" s="5" t="n">
        <v>-420000</v>
      </c>
      <c r="P4" s="5" t="n">
        <v>-474000</v>
      </c>
      <c r="Q4" s="5" t="n">
        <v>-369000</v>
      </c>
      <c r="R4" s="5" t="n">
        <v>-679000</v>
      </c>
      <c r="S4" s="5" t="n">
        <v>-339000</v>
      </c>
      <c r="T4" s="5" t="n">
        <v>-139000</v>
      </c>
      <c r="U4" s="5" t="n">
        <v>-139000</v>
      </c>
      <c r="V4" s="5" t="n">
        <v>-139000</v>
      </c>
      <c r="W4" s="5" t="n">
        <v>-139000</v>
      </c>
      <c r="X4" s="5" t="n">
        <v>-139000</v>
      </c>
      <c r="Y4" s="5" t="n">
        <v>-139000</v>
      </c>
      <c r="Z4" s="5" t="n">
        <v>-139000</v>
      </c>
      <c r="AA4" s="5" t="n">
        <v>-139000</v>
      </c>
      <c r="AB4" s="5" t="n">
        <v>-139000</v>
      </c>
      <c r="AC4" s="5" t="n">
        <v>-139000</v>
      </c>
      <c r="AD4" s="5" t="n">
        <v>-139000</v>
      </c>
      <c r="AE4" s="5" t="n">
        <v>-139000</v>
      </c>
      <c r="AF4" s="5" t="n">
        <v>-139000</v>
      </c>
      <c r="AG4" s="5" t="n">
        <v>-139000</v>
      </c>
      <c r="AH4" s="5" t="n">
        <v>-139000</v>
      </c>
      <c r="AI4" s="5" t="n">
        <v>-139000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ht="18" customHeight="1">
      <c r="A5" s="6" t="inlineStr">
        <is>
          <t>Gastos Personales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-70000</v>
      </c>
      <c r="J5" s="7" t="n">
        <v>0</v>
      </c>
      <c r="K5" s="7" t="n">
        <v>0</v>
      </c>
      <c r="L5" s="7" t="n">
        <v>0</v>
      </c>
      <c r="M5" s="7" t="n">
        <v>-39000</v>
      </c>
      <c r="N5" s="7" t="n">
        <v>-39000</v>
      </c>
      <c r="O5" s="7" t="n">
        <v>0</v>
      </c>
      <c r="P5" s="7" t="n">
        <v>0</v>
      </c>
      <c r="Q5" s="7" t="n">
        <v>-180000</v>
      </c>
      <c r="R5" s="7" t="n">
        <v>-180000</v>
      </c>
      <c r="S5" s="7" t="n">
        <v>-219000</v>
      </c>
      <c r="T5" s="7" t="n">
        <v>-219000</v>
      </c>
      <c r="U5" s="7" t="n">
        <v>-219000</v>
      </c>
      <c r="V5" s="7" t="n">
        <v>-219000</v>
      </c>
      <c r="W5" s="7" t="n">
        <v>-219000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ht="18" customHeight="1">
      <c r="A6" s="8" t="inlineStr">
        <is>
          <t>Hogar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-223000</v>
      </c>
      <c r="G6" s="9" t="n">
        <v>-200000</v>
      </c>
      <c r="H6" s="9" t="n">
        <v>-372300</v>
      </c>
      <c r="I6" s="9" t="n">
        <v>-388000</v>
      </c>
      <c r="J6" s="9" t="n">
        <v>-378100</v>
      </c>
      <c r="K6" s="9" t="n">
        <v>-418000</v>
      </c>
      <c r="L6" s="9" t="n">
        <v>-305000</v>
      </c>
      <c r="M6" s="9" t="n">
        <v>-418600</v>
      </c>
      <c r="N6" s="9" t="n">
        <v>-397804</v>
      </c>
      <c r="O6" s="9" t="n">
        <v>-357601.26</v>
      </c>
      <c r="P6" s="9" t="n">
        <v>-368601.26</v>
      </c>
      <c r="Q6" s="9" t="n">
        <v>-326481.26</v>
      </c>
      <c r="R6" s="9" t="n">
        <v>-356481.26</v>
      </c>
      <c r="S6" s="9" t="n">
        <v>-356481.26</v>
      </c>
      <c r="T6" s="9" t="n">
        <v>-356481.26</v>
      </c>
      <c r="U6" s="9" t="n">
        <v>-356481.26</v>
      </c>
      <c r="V6" s="9" t="n">
        <v>-356481.26</v>
      </c>
      <c r="W6" s="9" t="n">
        <v>-356481.26</v>
      </c>
      <c r="X6" s="9" t="n">
        <v>-370601.26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ht="18" customHeight="1">
      <c r="A7" s="10" t="inlineStr">
        <is>
          <t>Deudas &amp; Varios</t>
        </is>
      </c>
      <c r="B7" s="11" t="n">
        <v>-2307584.01</v>
      </c>
      <c r="C7" s="11" t="n">
        <v>-1341061.69</v>
      </c>
      <c r="D7" s="11" t="n">
        <v>-2287461.69</v>
      </c>
      <c r="E7" s="11" t="n">
        <v>-2713870</v>
      </c>
      <c r="F7" s="11" t="n">
        <v>-3680870</v>
      </c>
      <c r="G7" s="11" t="n">
        <v>-3798070</v>
      </c>
      <c r="H7" s="11" t="n">
        <v>-7950077</v>
      </c>
      <c r="I7" s="11" t="n">
        <v>-3154920</v>
      </c>
      <c r="J7" s="11" t="n">
        <v>-3959020</v>
      </c>
      <c r="K7" s="11" t="n">
        <v>-3087220</v>
      </c>
      <c r="L7" s="11" t="n">
        <v>-2435000</v>
      </c>
      <c r="M7" s="11" t="n">
        <v>-2368600</v>
      </c>
      <c r="N7" s="11" t="n">
        <v>-2535804</v>
      </c>
      <c r="O7" s="11" t="n">
        <v>-1977601.26</v>
      </c>
      <c r="P7" s="11" t="n">
        <v>-2257601.26</v>
      </c>
      <c r="Q7" s="11" t="n">
        <v>-2583481.26</v>
      </c>
      <c r="R7" s="11" t="n">
        <v>-1890481.26</v>
      </c>
      <c r="S7" s="11" t="n">
        <v>-2689481.26</v>
      </c>
      <c r="T7" s="11" t="n">
        <v>-2189481.26</v>
      </c>
      <c r="U7" s="11" t="n">
        <v>-2229481.26</v>
      </c>
      <c r="V7" s="11" t="n">
        <v>-2229481.26</v>
      </c>
      <c r="W7" s="11" t="n">
        <v>-1889481.26</v>
      </c>
      <c r="X7" s="11" t="n">
        <v>751398.74</v>
      </c>
      <c r="Y7" s="11" t="n">
        <v>-139000</v>
      </c>
      <c r="Z7" s="11" t="n">
        <v>-139000</v>
      </c>
      <c r="AA7" s="11" t="n">
        <v>-139000</v>
      </c>
      <c r="AB7" s="11" t="n">
        <v>-139000</v>
      </c>
      <c r="AC7" s="11" t="n">
        <v>-139000</v>
      </c>
      <c r="AD7" s="11" t="n">
        <v>-139000</v>
      </c>
      <c r="AE7" s="11" t="n">
        <v>-139000</v>
      </c>
      <c r="AF7" s="11" t="n">
        <v>-139000</v>
      </c>
      <c r="AG7" s="11" t="n">
        <v>-139000</v>
      </c>
      <c r="AH7" s="11" t="n">
        <v>-139000</v>
      </c>
      <c r="AI7" s="11" t="n">
        <v>-139000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>
      <c r="A8" s="12" t="inlineStr">
        <is>
          <t>TOTAL GASTOS</t>
        </is>
      </c>
      <c r="B8" s="13">
        <f>SUM(B4:B7)</f>
        <v/>
      </c>
      <c r="C8" s="13">
        <f>SUM(C4:C7)</f>
        <v/>
      </c>
      <c r="D8" s="13">
        <f>SUM(D4:D7)</f>
        <v/>
      </c>
      <c r="E8" s="13">
        <f>SUM(E4:E7)</f>
        <v/>
      </c>
      <c r="F8" s="13">
        <f>SUM(F4:F7)</f>
        <v/>
      </c>
      <c r="G8" s="13">
        <f>SUM(G4:G7)</f>
        <v/>
      </c>
      <c r="H8" s="13">
        <f>SUM(H4:H7)</f>
        <v/>
      </c>
      <c r="I8" s="13">
        <f>SUM(I4:I7)</f>
        <v/>
      </c>
      <c r="J8" s="13">
        <f>SUM(J4:J7)</f>
        <v/>
      </c>
      <c r="K8" s="13">
        <f>SUM(K4:K7)</f>
        <v/>
      </c>
      <c r="L8" s="13">
        <f>SUM(L4:L7)</f>
        <v/>
      </c>
      <c r="M8" s="13">
        <f>SUM(M4:M7)</f>
        <v/>
      </c>
      <c r="N8" s="13">
        <f>SUM(N4:N7)</f>
        <v/>
      </c>
      <c r="O8" s="13">
        <f>SUM(O4:O7)</f>
        <v/>
      </c>
      <c r="P8" s="13">
        <f>SUM(P4:P7)</f>
        <v/>
      </c>
      <c r="Q8" s="13">
        <f>SUM(Q4:Q7)</f>
        <v/>
      </c>
      <c r="R8" s="13">
        <f>SUM(R4:R7)</f>
        <v/>
      </c>
      <c r="S8" s="13">
        <f>SUM(S4:S7)</f>
        <v/>
      </c>
      <c r="T8" s="13">
        <f>SUM(T4:T7)</f>
        <v/>
      </c>
      <c r="U8" s="13">
        <f>SUM(U4:U7)</f>
        <v/>
      </c>
      <c r="V8" s="13">
        <f>SUM(V4:V7)</f>
        <v/>
      </c>
      <c r="W8" s="13">
        <f>SUM(W4:W7)</f>
        <v/>
      </c>
      <c r="X8" s="13">
        <f>SUM(X4:X7)</f>
        <v/>
      </c>
      <c r="Y8" s="13">
        <f>SUM(Y4:Y7)</f>
        <v/>
      </c>
      <c r="Z8" s="13">
        <f>SUM(Z4:Z7)</f>
        <v/>
      </c>
      <c r="AA8" s="13">
        <f>SUM(AA4:AA7)</f>
        <v/>
      </c>
      <c r="AB8" s="13">
        <f>SUM(AB4:AB7)</f>
        <v/>
      </c>
      <c r="AC8" s="13">
        <f>SUM(AC4:AC7)</f>
        <v/>
      </c>
      <c r="AD8" s="13">
        <f>SUM(AD4:AD7)</f>
        <v/>
      </c>
      <c r="AE8" s="13">
        <f>SUM(AE4:AE7)</f>
        <v/>
      </c>
      <c r="AF8" s="13">
        <f>SUM(AF4:AF7)</f>
        <v/>
      </c>
      <c r="AG8" s="13">
        <f>SUM(AG4:AG7)</f>
        <v/>
      </c>
      <c r="AH8" s="13">
        <f>SUM(AH4:AH7)</f>
        <v/>
      </c>
      <c r="AI8" s="13">
        <f>SUM(AI4:AI7)</f>
        <v/>
      </c>
      <c r="AJ8" s="13">
        <f>SUM(AJ4:AJ7)</f>
        <v/>
      </c>
      <c r="AK8" s="13">
        <f>SUM(AK4:AK7)</f>
        <v/>
      </c>
      <c r="AL8" s="13">
        <f>SUM(AL4:AL7)</f>
        <v/>
      </c>
      <c r="AM8" s="13">
        <f>SUM(AM4:AM7)</f>
        <v/>
      </c>
      <c r="AN8" s="13">
        <f>SUM(AN4:AN7)</f>
        <v/>
      </c>
      <c r="AO8" s="13">
        <f>SUM(AO4:AO7)</f>
        <v/>
      </c>
      <c r="AP8" s="13">
        <f>SUM(AP4:AP7)</f>
        <v/>
      </c>
      <c r="AQ8" s="13">
        <f>SUM(AQ4:AQ7)</f>
        <v/>
      </c>
      <c r="AR8" s="13">
        <f>SUM(AR4:AR7)</f>
        <v/>
      </c>
      <c r="AS8" s="13">
        <f>SUM(AS4:AS7)</f>
        <v/>
      </c>
    </row>
    <row r="9" ht="20" customHeight="1">
      <c r="A9" s="14" t="inlineStr">
        <is>
          <t>💰 INGRESOS</t>
        </is>
      </c>
    </row>
    <row r="10" ht="18" customHeight="1">
      <c r="A10" s="15" t="inlineStr">
        <is>
          <t>Ingreso Franco</t>
        </is>
      </c>
      <c r="B10" s="7" t="n">
        <v>0</v>
      </c>
      <c r="C10" s="7" t="n">
        <v>0</v>
      </c>
      <c r="D10" s="7" t="n">
        <v>0</v>
      </c>
      <c r="E10" s="7" t="n">
        <v>30000</v>
      </c>
      <c r="F10" s="7" t="n">
        <v>30000</v>
      </c>
      <c r="G10" s="7" t="n">
        <v>0</v>
      </c>
      <c r="H10" s="7" t="n">
        <v>50000</v>
      </c>
      <c r="I10" s="7" t="n">
        <v>100000</v>
      </c>
      <c r="J10" s="7" t="n">
        <v>0</v>
      </c>
      <c r="K10" s="7" t="n">
        <v>0</v>
      </c>
      <c r="L10" s="7" t="n">
        <v>320000</v>
      </c>
      <c r="M10" s="7" t="n">
        <v>960000</v>
      </c>
      <c r="N10" s="7" t="n">
        <v>1400000</v>
      </c>
      <c r="O10" s="7" t="n">
        <v>0</v>
      </c>
      <c r="P10" s="7" t="n">
        <v>0</v>
      </c>
      <c r="Q10" s="7" t="n">
        <v>900000</v>
      </c>
      <c r="R10" s="7" t="n">
        <v>900000</v>
      </c>
      <c r="S10" s="7" t="n">
        <v>900000</v>
      </c>
      <c r="T10" s="7" t="n">
        <v>900000</v>
      </c>
      <c r="U10" s="7" t="n">
        <v>900000</v>
      </c>
      <c r="V10" s="7" t="n">
        <v>900000</v>
      </c>
      <c r="W10" s="7" t="n">
        <v>900000</v>
      </c>
      <c r="X10" s="7" t="n">
        <v>900000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</row>
    <row r="11" ht="18" customHeight="1">
      <c r="A11" s="15" t="inlineStr">
        <is>
          <t>Ingreso Abi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6000000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</row>
    <row r="12" ht="18" customHeight="1">
      <c r="A12" s="15" t="inlineStr">
        <is>
          <t>Pago de negocio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</row>
    <row r="13" ht="18" customHeight="1">
      <c r="A13" s="15" t="inlineStr">
        <is>
          <t>Ingreso por rendimientos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30000</v>
      </c>
      <c r="G13" s="7" t="n">
        <v>15000</v>
      </c>
      <c r="H13" s="7" t="n">
        <v>15000</v>
      </c>
      <c r="I13" s="7" t="n">
        <v>15000</v>
      </c>
      <c r="J13" s="7" t="n">
        <v>15000</v>
      </c>
      <c r="K13" s="7" t="n">
        <v>15000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</row>
    <row r="14" ht="18" customHeight="1">
      <c r="A14" s="15" t="inlineStr">
        <is>
          <t>Nos deben</t>
        </is>
      </c>
      <c r="B14" s="7" t="n">
        <v>-1207584.01</v>
      </c>
      <c r="C14" s="7" t="n">
        <v>-241061.69</v>
      </c>
      <c r="D14" s="7" t="n">
        <v>-1187461.69</v>
      </c>
      <c r="E14" s="7" t="n">
        <v>-1483870</v>
      </c>
      <c r="F14" s="7" t="n">
        <v>-2420870</v>
      </c>
      <c r="G14" s="7" t="n">
        <v>-2203070</v>
      </c>
      <c r="H14" s="7" t="n">
        <v>-345077</v>
      </c>
      <c r="I14" s="7" t="n">
        <v>-1467060</v>
      </c>
      <c r="J14" s="7" t="n">
        <v>-2291160</v>
      </c>
      <c r="K14" s="7" t="n">
        <v>-1884360</v>
      </c>
      <c r="L14" s="7" t="n">
        <v>-398000</v>
      </c>
      <c r="M14" s="7" t="n">
        <v>492400</v>
      </c>
      <c r="N14" s="7" t="n">
        <v>684196</v>
      </c>
      <c r="O14" s="7" t="n">
        <v>-22601.26</v>
      </c>
      <c r="P14" s="7" t="n">
        <v>-352601.26</v>
      </c>
      <c r="Q14" s="7" t="n">
        <v>526518.74</v>
      </c>
      <c r="R14" s="7" t="n">
        <v>279518.74</v>
      </c>
      <c r="S14" s="7" t="n">
        <v>260518.74</v>
      </c>
      <c r="T14" s="7" t="n">
        <v>760518.74</v>
      </c>
      <c r="U14" s="7" t="n">
        <v>740518.74</v>
      </c>
      <c r="V14" s="7" t="n">
        <v>740518.74</v>
      </c>
      <c r="W14" s="7" t="n">
        <v>1010518.74</v>
      </c>
      <c r="X14" s="7" t="n">
        <v>2433398.74</v>
      </c>
      <c r="Y14" s="7" t="n">
        <v>-139000</v>
      </c>
      <c r="Z14" s="7" t="n">
        <v>-139000</v>
      </c>
      <c r="AA14" s="7" t="n">
        <v>-139000</v>
      </c>
      <c r="AB14" s="7" t="n">
        <v>-139000</v>
      </c>
      <c r="AC14" s="7" t="n">
        <v>-139000</v>
      </c>
      <c r="AD14" s="7" t="n">
        <v>-139000</v>
      </c>
      <c r="AE14" s="7" t="n">
        <v>-139000</v>
      </c>
      <c r="AF14" s="7" t="n">
        <v>-139000</v>
      </c>
      <c r="AG14" s="7" t="n">
        <v>-139000</v>
      </c>
      <c r="AH14" s="7" t="n">
        <v>-139000</v>
      </c>
      <c r="AI14" s="7" t="n">
        <v>-139000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</row>
    <row r="15">
      <c r="A15" s="16" t="inlineStr">
        <is>
          <t>TOTAL INGRESOS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  <c r="J15" s="17">
        <f>SUM(J10:J14)</f>
        <v/>
      </c>
      <c r="K15" s="17">
        <f>SUM(K10:K14)</f>
        <v/>
      </c>
      <c r="L15" s="17">
        <f>SUM(L10:L14)</f>
        <v/>
      </c>
      <c r="M15" s="17">
        <f>SUM(M10:M14)</f>
        <v/>
      </c>
      <c r="N15" s="17">
        <f>SUM(N10:N14)</f>
        <v/>
      </c>
      <c r="O15" s="17">
        <f>SUM(O10:O14)</f>
        <v/>
      </c>
      <c r="P15" s="17">
        <f>SUM(P10:P14)</f>
        <v/>
      </c>
      <c r="Q15" s="17">
        <f>SUM(Q10:Q14)</f>
        <v/>
      </c>
      <c r="R15" s="17">
        <f>SUM(R10:R14)</f>
        <v/>
      </c>
      <c r="S15" s="17">
        <f>SUM(S10:S14)</f>
        <v/>
      </c>
      <c r="T15" s="17">
        <f>SUM(T10:T14)</f>
        <v/>
      </c>
      <c r="U15" s="17">
        <f>SUM(U10:U14)</f>
        <v/>
      </c>
      <c r="V15" s="17">
        <f>SUM(V10:V14)</f>
        <v/>
      </c>
      <c r="W15" s="17">
        <f>SUM(W10:W14)</f>
        <v/>
      </c>
      <c r="X15" s="17">
        <f>SUM(X10:X14)</f>
        <v/>
      </c>
      <c r="Y15" s="17">
        <f>SUM(Y10:Y14)</f>
        <v/>
      </c>
      <c r="Z15" s="17">
        <f>SUM(Z10:Z14)</f>
        <v/>
      </c>
      <c r="AA15" s="17">
        <f>SUM(AA10:AA14)</f>
        <v/>
      </c>
      <c r="AB15" s="17">
        <f>SUM(AB10:AB14)</f>
        <v/>
      </c>
      <c r="AC15" s="17">
        <f>SUM(AC10:AC14)</f>
        <v/>
      </c>
      <c r="AD15" s="17">
        <f>SUM(AD10:AD14)</f>
        <v/>
      </c>
      <c r="AE15" s="17">
        <f>SUM(AE10:AE14)</f>
        <v/>
      </c>
      <c r="AF15" s="17">
        <f>SUM(AF10:AF14)</f>
        <v/>
      </c>
      <c r="AG15" s="17">
        <f>SUM(AG10:AG14)</f>
        <v/>
      </c>
      <c r="AH15" s="17">
        <f>SUM(AH10:AH14)</f>
        <v/>
      </c>
      <c r="AI15" s="17">
        <f>SUM(AI10:AI14)</f>
        <v/>
      </c>
      <c r="AJ15" s="17">
        <f>SUM(AJ10:AJ14)</f>
        <v/>
      </c>
      <c r="AK15" s="17">
        <f>SUM(AK10:AK14)</f>
        <v/>
      </c>
      <c r="AL15" s="17">
        <f>SUM(AL10:AL14)</f>
        <v/>
      </c>
      <c r="AM15" s="17">
        <f>SUM(AM10:AM14)</f>
        <v/>
      </c>
      <c r="AN15" s="17">
        <f>SUM(AN10:AN14)</f>
        <v/>
      </c>
      <c r="AO15" s="17">
        <f>SUM(AO10:AO14)</f>
        <v/>
      </c>
      <c r="AP15" s="17">
        <f>SUM(AP10:AP14)</f>
        <v/>
      </c>
      <c r="AQ15" s="17">
        <f>SUM(AQ10:AQ14)</f>
        <v/>
      </c>
      <c r="AR15" s="17">
        <f>SUM(AR10:AR14)</f>
        <v/>
      </c>
      <c r="AS15" s="17">
        <f>SUM(AS10:AS14)</f>
        <v/>
      </c>
    </row>
    <row r="16" ht="22" customHeight="1">
      <c r="A16" s="18" t="inlineStr">
        <is>
          <t>¿LLEGAMOS A PAGAR?</t>
        </is>
      </c>
      <c r="B16" s="19">
        <f>B15+B8</f>
        <v/>
      </c>
      <c r="C16" s="19">
        <f>C15+C8</f>
        <v/>
      </c>
      <c r="D16" s="19">
        <f>D15+D8</f>
        <v/>
      </c>
      <c r="E16" s="19">
        <f>E15+E8</f>
        <v/>
      </c>
      <c r="F16" s="19">
        <f>F15+F8</f>
        <v/>
      </c>
      <c r="G16" s="19">
        <f>G15+G8</f>
        <v/>
      </c>
      <c r="H16" s="19">
        <f>H15+H8</f>
        <v/>
      </c>
      <c r="I16" s="19">
        <f>I15+I8</f>
        <v/>
      </c>
      <c r="J16" s="19">
        <f>J15+J8</f>
        <v/>
      </c>
      <c r="K16" s="19">
        <f>K15+K8</f>
        <v/>
      </c>
      <c r="L16" s="19">
        <f>L15+L8</f>
        <v/>
      </c>
      <c r="M16" s="19">
        <f>M15+M8</f>
        <v/>
      </c>
      <c r="N16" s="19">
        <f>N15+N8</f>
        <v/>
      </c>
      <c r="O16" s="19">
        <f>O15+O8</f>
        <v/>
      </c>
      <c r="P16" s="19">
        <f>P15+P8</f>
        <v/>
      </c>
      <c r="Q16" s="19">
        <f>Q15+Q8</f>
        <v/>
      </c>
      <c r="R16" s="19">
        <f>R15+R8</f>
        <v/>
      </c>
      <c r="S16" s="19">
        <f>S15+S8</f>
        <v/>
      </c>
      <c r="T16" s="19">
        <f>T15+T8</f>
        <v/>
      </c>
      <c r="U16" s="19">
        <f>U15+U8</f>
        <v/>
      </c>
      <c r="V16" s="19">
        <f>V15+V8</f>
        <v/>
      </c>
      <c r="W16" s="19">
        <f>W15+W8</f>
        <v/>
      </c>
      <c r="X16" s="19">
        <f>X15+X8</f>
        <v/>
      </c>
      <c r="Y16" s="19">
        <f>Y15+Y8</f>
        <v/>
      </c>
      <c r="Z16" s="19">
        <f>Z15+Z8</f>
        <v/>
      </c>
      <c r="AA16" s="19">
        <f>AA15+AA8</f>
        <v/>
      </c>
      <c r="AB16" s="19">
        <f>AB15+AB8</f>
        <v/>
      </c>
      <c r="AC16" s="19">
        <f>AC15+AC8</f>
        <v/>
      </c>
      <c r="AD16" s="19">
        <f>AD15+AD8</f>
        <v/>
      </c>
      <c r="AE16" s="19">
        <f>AE15+AE8</f>
        <v/>
      </c>
      <c r="AF16" s="19">
        <f>AF15+AF8</f>
        <v/>
      </c>
      <c r="AG16" s="19">
        <f>AG15+AG8</f>
        <v/>
      </c>
      <c r="AH16" s="19">
        <f>AH15+AH8</f>
        <v/>
      </c>
      <c r="AI16" s="19">
        <f>AI15+AI8</f>
        <v/>
      </c>
      <c r="AJ16" s="19">
        <f>AJ15+AJ8</f>
        <v/>
      </c>
      <c r="AK16" s="19">
        <f>AK15+AK8</f>
        <v/>
      </c>
      <c r="AL16" s="19">
        <f>AL15+AL8</f>
        <v/>
      </c>
      <c r="AM16" s="19">
        <f>AM15+AM8</f>
        <v/>
      </c>
      <c r="AN16" s="19">
        <f>AN15+AN8</f>
        <v/>
      </c>
      <c r="AO16" s="19">
        <f>AO15+AO8</f>
        <v/>
      </c>
      <c r="AP16" s="19">
        <f>AP15+AP8</f>
        <v/>
      </c>
      <c r="AQ16" s="19">
        <f>AQ15+AQ8</f>
        <v/>
      </c>
      <c r="AR16" s="19">
        <f>AR15+AR8</f>
        <v/>
      </c>
      <c r="AS16" s="19">
        <f>AS15+AS8</f>
        <v/>
      </c>
    </row>
  </sheetData>
  <mergeCells count="2">
    <mergeCell ref="A3:AS3"/>
    <mergeCell ref="A9:AS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3" t="inlineStr">
        <is>
          <t>💳 TARJETAS &amp; BANCOS</t>
        </is>
      </c>
    </row>
    <row r="4" ht="18" customHeight="1">
      <c r="A4" s="20" t="inlineStr">
        <is>
          <t>Banco BBVA</t>
        </is>
      </c>
      <c r="B4" s="5" t="n">
        <v>-149000</v>
      </c>
      <c r="C4" s="5" t="n">
        <v>-149000</v>
      </c>
      <c r="D4" s="5" t="n">
        <v>-149000</v>
      </c>
      <c r="E4" s="5" t="n">
        <v>-149000</v>
      </c>
      <c r="F4" s="5" t="n">
        <v>-128000</v>
      </c>
      <c r="G4" s="5" t="n">
        <v>-474000</v>
      </c>
      <c r="H4" s="5" t="n">
        <v>-502000</v>
      </c>
      <c r="I4" s="5" t="n">
        <v>0</v>
      </c>
      <c r="J4" s="5" t="n">
        <v>-161000</v>
      </c>
      <c r="K4" s="5" t="n">
        <v>-161000</v>
      </c>
      <c r="L4" s="5" t="n">
        <v>-161000</v>
      </c>
      <c r="M4" s="5" t="n">
        <v>-161000</v>
      </c>
      <c r="N4" s="5" t="n">
        <v>-161000</v>
      </c>
      <c r="O4" s="5" t="n">
        <v>-161000</v>
      </c>
      <c r="P4" s="5" t="n">
        <v>-161000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ht="18" customHeight="1">
      <c r="A5" s="20" t="inlineStr">
        <is>
          <t>Banco Mercado Pago</t>
        </is>
      </c>
      <c r="B5" s="5" t="n">
        <v>-202870</v>
      </c>
      <c r="C5" s="5" t="n">
        <v>-202870</v>
      </c>
      <c r="D5" s="5" t="n">
        <v>-202870</v>
      </c>
      <c r="E5" s="5" t="n">
        <v>-202870</v>
      </c>
      <c r="F5" s="5" t="n">
        <v>-202870</v>
      </c>
      <c r="G5" s="5" t="n">
        <v>-202870</v>
      </c>
      <c r="H5" s="5" t="n">
        <v>-3862277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</row>
    <row r="6" ht="18" customHeight="1">
      <c r="A6" s="20" t="inlineStr">
        <is>
          <t>Préstamo BBVA</t>
        </is>
      </c>
      <c r="B6" s="5" t="n">
        <v>0</v>
      </c>
      <c r="C6" s="5" t="n">
        <v>-83000</v>
      </c>
      <c r="D6" s="5" t="n">
        <v>-83000</v>
      </c>
      <c r="E6" s="5" t="n">
        <v>-83000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</row>
    <row r="7" ht="18" customHeight="1">
      <c r="A7" s="20" t="inlineStr">
        <is>
          <t>Préstamo Naranja X</t>
        </is>
      </c>
      <c r="B7" s="5" t="n">
        <v>-840000</v>
      </c>
      <c r="C7" s="5" t="n">
        <v>-120600</v>
      </c>
      <c r="D7" s="5" t="n">
        <v>-1067000</v>
      </c>
      <c r="E7" s="5" t="n">
        <v>-895000</v>
      </c>
      <c r="F7" s="5" t="n">
        <v>-740000</v>
      </c>
      <c r="G7" s="5" t="n">
        <v>-680000</v>
      </c>
      <c r="H7" s="5" t="n">
        <v>-700000</v>
      </c>
      <c r="I7" s="5" t="n">
        <v>-560000</v>
      </c>
      <c r="J7" s="5" t="n">
        <v>-850000</v>
      </c>
      <c r="K7" s="5" t="n">
        <v>-1000000</v>
      </c>
      <c r="L7" s="5" t="n">
        <v>-600000</v>
      </c>
      <c r="M7" s="5" t="n">
        <v>-127000</v>
      </c>
      <c r="N7" s="5" t="n">
        <v>-193000</v>
      </c>
      <c r="O7" s="5" t="n">
        <v>-139000</v>
      </c>
      <c r="P7" s="5" t="n">
        <v>-139000</v>
      </c>
      <c r="Q7" s="5" t="n">
        <v>-139000</v>
      </c>
      <c r="R7" s="5" t="n">
        <v>-139000</v>
      </c>
      <c r="S7" s="5" t="n">
        <v>-139000</v>
      </c>
      <c r="T7" s="5" t="n">
        <v>-139000</v>
      </c>
      <c r="U7" s="5" t="n">
        <v>-139000</v>
      </c>
      <c r="V7" s="5" t="n">
        <v>-139000</v>
      </c>
      <c r="W7" s="5" t="n">
        <v>-139000</v>
      </c>
      <c r="X7" s="5" t="n">
        <v>-139000</v>
      </c>
      <c r="Y7" s="5" t="n">
        <v>-139000</v>
      </c>
      <c r="Z7" s="5" t="n">
        <v>-139000</v>
      </c>
      <c r="AA7" s="5" t="n">
        <v>-139000</v>
      </c>
      <c r="AB7" s="5" t="n">
        <v>-139000</v>
      </c>
      <c r="AC7" s="5" t="n">
        <v>-139000</v>
      </c>
      <c r="AD7" s="5" t="n">
        <v>-139000</v>
      </c>
      <c r="AE7" s="5" t="n">
        <v>-139000</v>
      </c>
      <c r="AF7" s="5" t="n">
        <v>-139000</v>
      </c>
      <c r="AG7" s="5" t="n">
        <v>-139000</v>
      </c>
      <c r="AH7" s="5" t="n">
        <v>-139000</v>
      </c>
      <c r="AI7" s="5" t="n">
        <v>-139000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</row>
    <row r="8" ht="18" customHeight="1">
      <c r="A8" s="20" t="inlineStr">
        <is>
          <t>Banco Naranja X</t>
        </is>
      </c>
      <c r="B8" s="5" t="n">
        <v>-34000</v>
      </c>
      <c r="C8" s="5" t="n">
        <v>-34000</v>
      </c>
      <c r="D8" s="5" t="n">
        <v>-34000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 t="n"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</row>
    <row r="9" ht="18" customHeight="1">
      <c r="A9" s="20" t="inlineStr">
        <is>
          <t>Banco Santander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-250000</v>
      </c>
      <c r="N9" s="5" t="n">
        <v>-170000</v>
      </c>
      <c r="O9" s="5" t="n">
        <v>-70000</v>
      </c>
      <c r="P9" s="5" t="n">
        <v>-137000</v>
      </c>
      <c r="Q9" s="5" t="n">
        <v>-160000</v>
      </c>
      <c r="R9" s="5" t="n">
        <v>-400000</v>
      </c>
      <c r="S9" s="5" t="n">
        <v>-200000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</row>
    <row r="10" ht="18" customHeight="1">
      <c r="A10" s="20" t="inlineStr">
        <is>
          <t>Banco BNA (Franco)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-200000</v>
      </c>
      <c r="O10" s="5" t="n">
        <v>-50000</v>
      </c>
      <c r="P10" s="5" t="n">
        <v>-37000</v>
      </c>
      <c r="Q10" s="5" t="n">
        <v>0</v>
      </c>
      <c r="R10" s="5" t="n">
        <v>-140000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</row>
    <row r="11" ht="18" customHeight="1">
      <c r="A11" s="20" t="inlineStr">
        <is>
          <t>Banco BNA (Abi)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-70000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</row>
    <row r="12" ht="18" customHeight="1">
      <c r="A12" s="20" t="inlineStr">
        <is>
          <t>GO Cuotas (Abi)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</row>
    <row r="13">
      <c r="A13" s="21" t="inlineStr">
        <is>
          <t>TOTAL</t>
        </is>
      </c>
      <c r="B13" s="22">
        <f>SUM(B4:B12)</f>
        <v/>
      </c>
      <c r="C13" s="22">
        <f>SUM(C4:C12)</f>
        <v/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  <c r="I13" s="22">
        <f>SUM(I4:I12)</f>
        <v/>
      </c>
      <c r="J13" s="22">
        <f>SUM(J4:J12)</f>
        <v/>
      </c>
      <c r="K13" s="22">
        <f>SUM(K4:K12)</f>
        <v/>
      </c>
      <c r="L13" s="22">
        <f>SUM(L4:L12)</f>
        <v/>
      </c>
      <c r="M13" s="22">
        <f>SUM(M4:M12)</f>
        <v/>
      </c>
      <c r="N13" s="22">
        <f>SUM(N4:N12)</f>
        <v/>
      </c>
      <c r="O13" s="22">
        <f>SUM(O4:O12)</f>
        <v/>
      </c>
      <c r="P13" s="22">
        <f>SUM(P4:P12)</f>
        <v/>
      </c>
      <c r="Q13" s="22">
        <f>SUM(Q4:Q12)</f>
        <v/>
      </c>
      <c r="R13" s="22">
        <f>SUM(R4:R12)</f>
        <v/>
      </c>
      <c r="S13" s="22">
        <f>SUM(S4:S12)</f>
        <v/>
      </c>
      <c r="T13" s="22">
        <f>SUM(T4:T12)</f>
        <v/>
      </c>
      <c r="U13" s="22">
        <f>SUM(U4:U12)</f>
        <v/>
      </c>
      <c r="V13" s="22">
        <f>SUM(V4:V12)</f>
        <v/>
      </c>
      <c r="W13" s="22">
        <f>SUM(W4:W12)</f>
        <v/>
      </c>
      <c r="X13" s="22">
        <f>SUM(X4:X12)</f>
        <v/>
      </c>
      <c r="Y13" s="22">
        <f>SUM(Y4:Y12)</f>
        <v/>
      </c>
      <c r="Z13" s="22">
        <f>SUM(Z4:Z12)</f>
        <v/>
      </c>
      <c r="AA13" s="22">
        <f>SUM(AA4:AA12)</f>
        <v/>
      </c>
      <c r="AB13" s="22">
        <f>SUM(AB4:AB12)</f>
        <v/>
      </c>
      <c r="AC13" s="22">
        <f>SUM(AC4:AC12)</f>
        <v/>
      </c>
      <c r="AD13" s="22">
        <f>SUM(AD4:AD12)</f>
        <v/>
      </c>
      <c r="AE13" s="22">
        <f>SUM(AE4:AE12)</f>
        <v/>
      </c>
      <c r="AF13" s="22">
        <f>SUM(AF4:AF12)</f>
        <v/>
      </c>
      <c r="AG13" s="22">
        <f>SUM(AG4:AG12)</f>
        <v/>
      </c>
      <c r="AH13" s="22">
        <f>SUM(AH4:AH12)</f>
        <v/>
      </c>
      <c r="AI13" s="22">
        <f>SUM(AI4:AI12)</f>
        <v/>
      </c>
      <c r="AJ13" s="22">
        <f>SUM(AJ4:AJ12)</f>
        <v/>
      </c>
      <c r="AK13" s="22">
        <f>SUM(AK4:AK12)</f>
        <v/>
      </c>
      <c r="AL13" s="22">
        <f>SUM(AL4:AL12)</f>
        <v/>
      </c>
      <c r="AM13" s="22">
        <f>SUM(AM4:AM12)</f>
        <v/>
      </c>
      <c r="AN13" s="22">
        <f>SUM(AN4:AN12)</f>
        <v/>
      </c>
      <c r="AO13" s="22">
        <f>SUM(AO4:AO12)</f>
        <v/>
      </c>
      <c r="AP13" s="22">
        <f>SUM(AP4:AP12)</f>
        <v/>
      </c>
      <c r="AQ13" s="22">
        <f>SUM(AQ4:AQ12)</f>
        <v/>
      </c>
      <c r="AR13" s="22">
        <f>SUM(AR4:AR12)</f>
        <v/>
      </c>
      <c r="AS13" s="22">
        <f>SUM(AS4:AS12)</f>
        <v/>
      </c>
    </row>
  </sheetData>
  <mergeCells count="1">
    <mergeCell ref="A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14" t="inlineStr">
        <is>
          <t>🎓 GASTOS PERSONALES</t>
        </is>
      </c>
    </row>
    <row r="4" ht="18" customHeight="1">
      <c r="A4" s="15" t="inlineStr">
        <is>
          <t>Materias Abi</t>
        </is>
      </c>
      <c r="B4" s="7" t="n">
        <v>0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</row>
    <row r="5" ht="18" customHeight="1">
      <c r="A5" s="15" t="inlineStr">
        <is>
          <t>Materias Franco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-35000</v>
      </c>
      <c r="J5" s="7" t="n">
        <v>0</v>
      </c>
      <c r="K5" s="7" t="n">
        <v>0</v>
      </c>
      <c r="L5" s="7" t="n">
        <v>0</v>
      </c>
      <c r="M5" s="7" t="n">
        <v>-39000</v>
      </c>
      <c r="N5" s="7" t="n">
        <v>-39000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-39000</v>
      </c>
      <c r="T5" s="7" t="n">
        <v>-39000</v>
      </c>
      <c r="U5" s="7" t="n">
        <v>-39000</v>
      </c>
      <c r="V5" s="7" t="n">
        <v>-39000</v>
      </c>
      <c r="W5" s="7" t="n">
        <v>-39000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ht="18" customHeight="1">
      <c r="A6" s="15" t="inlineStr">
        <is>
          <t>Gimnasio Franco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-35000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0</v>
      </c>
      <c r="AQ6" s="7" t="n">
        <v>0</v>
      </c>
      <c r="AR6" s="7" t="n">
        <v>0</v>
      </c>
      <c r="AS6" s="7" t="n">
        <v>0</v>
      </c>
    </row>
    <row r="7" ht="18" customHeight="1">
      <c r="A7" s="15" t="inlineStr">
        <is>
          <t>Gimnasio Abi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</row>
    <row r="8" ht="18" customHeight="1">
      <c r="A8" s="15" t="inlineStr">
        <is>
          <t>Facultad Franco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-180000</v>
      </c>
      <c r="R8" s="7" t="n">
        <v>-180000</v>
      </c>
      <c r="S8" s="7" t="n">
        <v>-180000</v>
      </c>
      <c r="T8" s="7" t="n">
        <v>-180000</v>
      </c>
      <c r="U8" s="7" t="n">
        <v>-180000</v>
      </c>
      <c r="V8" s="7" t="n">
        <v>-180000</v>
      </c>
      <c r="W8" s="7" t="n">
        <v>-180000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</row>
    <row r="9" ht="18" customHeight="1">
      <c r="A9" s="15" t="inlineStr">
        <is>
          <t>Facultad Abi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</row>
    <row r="10">
      <c r="A10" s="23" t="inlineStr">
        <is>
          <t>TOTAL</t>
        </is>
      </c>
      <c r="B10" s="24">
        <f>SUM(B4:B9)</f>
        <v/>
      </c>
      <c r="C10" s="24">
        <f>SUM(C4:C9)</f>
        <v/>
      </c>
      <c r="D10" s="24">
        <f>SUM(D4:D9)</f>
        <v/>
      </c>
      <c r="E10" s="24">
        <f>SUM(E4:E9)</f>
        <v/>
      </c>
      <c r="F10" s="24">
        <f>SUM(F4:F9)</f>
        <v/>
      </c>
      <c r="G10" s="24">
        <f>SUM(G4:G9)</f>
        <v/>
      </c>
      <c r="H10" s="24">
        <f>SUM(H4:H9)</f>
        <v/>
      </c>
      <c r="I10" s="24">
        <f>SUM(I4:I9)</f>
        <v/>
      </c>
      <c r="J10" s="24">
        <f>SUM(J4:J9)</f>
        <v/>
      </c>
      <c r="K10" s="24">
        <f>SUM(K4:K9)</f>
        <v/>
      </c>
      <c r="L10" s="24">
        <f>SUM(L4:L9)</f>
        <v/>
      </c>
      <c r="M10" s="24">
        <f>SUM(M4:M9)</f>
        <v/>
      </c>
      <c r="N10" s="24">
        <f>SUM(N4:N9)</f>
        <v/>
      </c>
      <c r="O10" s="24">
        <f>SUM(O4:O9)</f>
        <v/>
      </c>
      <c r="P10" s="24">
        <f>SUM(P4:P9)</f>
        <v/>
      </c>
      <c r="Q10" s="24">
        <f>SUM(Q4:Q9)</f>
        <v/>
      </c>
      <c r="R10" s="24">
        <f>SUM(R4:R9)</f>
        <v/>
      </c>
      <c r="S10" s="24">
        <f>SUM(S4:S9)</f>
        <v/>
      </c>
      <c r="T10" s="24">
        <f>SUM(T4:T9)</f>
        <v/>
      </c>
      <c r="U10" s="24">
        <f>SUM(U4:U9)</f>
        <v/>
      </c>
      <c r="V10" s="24">
        <f>SUM(V4:V9)</f>
        <v/>
      </c>
      <c r="W10" s="24">
        <f>SUM(W4:W9)</f>
        <v/>
      </c>
      <c r="X10" s="24">
        <f>SUM(X4:X9)</f>
        <v/>
      </c>
      <c r="Y10" s="24">
        <f>SUM(Y4:Y9)</f>
        <v/>
      </c>
      <c r="Z10" s="24">
        <f>SUM(Z4:Z9)</f>
        <v/>
      </c>
      <c r="AA10" s="24">
        <f>SUM(AA4:AA9)</f>
        <v/>
      </c>
      <c r="AB10" s="24">
        <f>SUM(AB4:AB9)</f>
        <v/>
      </c>
      <c r="AC10" s="24">
        <f>SUM(AC4:AC9)</f>
        <v/>
      </c>
      <c r="AD10" s="24">
        <f>SUM(AD4:AD9)</f>
        <v/>
      </c>
      <c r="AE10" s="24">
        <f>SUM(AE4:AE9)</f>
        <v/>
      </c>
      <c r="AF10" s="24">
        <f>SUM(AF4:AF9)</f>
        <v/>
      </c>
      <c r="AG10" s="24">
        <f>SUM(AG4:AG9)</f>
        <v/>
      </c>
      <c r="AH10" s="24">
        <f>SUM(AH4:AH9)</f>
        <v/>
      </c>
      <c r="AI10" s="24">
        <f>SUM(AI4:AI9)</f>
        <v/>
      </c>
      <c r="AJ10" s="24">
        <f>SUM(AJ4:AJ9)</f>
        <v/>
      </c>
      <c r="AK10" s="24">
        <f>SUM(AK4:AK9)</f>
        <v/>
      </c>
      <c r="AL10" s="24">
        <f>SUM(AL4:AL9)</f>
        <v/>
      </c>
      <c r="AM10" s="24">
        <f>SUM(AM4:AM9)</f>
        <v/>
      </c>
      <c r="AN10" s="24">
        <f>SUM(AN4:AN9)</f>
        <v/>
      </c>
      <c r="AO10" s="24">
        <f>SUM(AO4:AO9)</f>
        <v/>
      </c>
      <c r="AP10" s="24">
        <f>SUM(AP4:AP9)</f>
        <v/>
      </c>
      <c r="AQ10" s="24">
        <f>SUM(AQ4:AQ9)</f>
        <v/>
      </c>
      <c r="AR10" s="24">
        <f>SUM(AR4:AR9)</f>
        <v/>
      </c>
      <c r="AS10" s="24">
        <f>SUM(AS4:AS9)</f>
        <v/>
      </c>
    </row>
  </sheetData>
  <mergeCells count="1">
    <mergeCell ref="A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25" t="inlineStr">
        <is>
          <t>🏠 GASTOS DEL HOGAR</t>
        </is>
      </c>
    </row>
    <row r="4" ht="18" customHeight="1">
      <c r="A4" s="26" t="inlineStr">
        <is>
          <t>Internet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-223000</v>
      </c>
      <c r="G4" s="9" t="n">
        <v>-200000</v>
      </c>
      <c r="H4" s="9" t="n">
        <v>-161000</v>
      </c>
      <c r="I4" s="9" t="n">
        <v>-200000</v>
      </c>
      <c r="J4" s="9" t="n">
        <v>-206100</v>
      </c>
      <c r="K4" s="9" t="n">
        <v>-200000</v>
      </c>
      <c r="L4" s="9" t="n">
        <v>-200000</v>
      </c>
      <c r="M4" s="9" t="n">
        <v>-220000</v>
      </c>
      <c r="N4" s="9" t="n">
        <v>-220000</v>
      </c>
      <c r="O4" s="9" t="n">
        <v>-220000</v>
      </c>
      <c r="P4" s="9" t="n">
        <v>-220000</v>
      </c>
      <c r="Q4" s="9" t="n">
        <v>-170000</v>
      </c>
      <c r="R4" s="9" t="n">
        <v>-200000</v>
      </c>
      <c r="S4" s="9" t="n">
        <v>-200000</v>
      </c>
      <c r="T4" s="9" t="n">
        <v>-200000</v>
      </c>
      <c r="U4" s="9" t="n">
        <v>-200000</v>
      </c>
      <c r="V4" s="9" t="n">
        <v>-200000</v>
      </c>
      <c r="W4" s="9" t="n">
        <v>-200000</v>
      </c>
      <c r="X4" s="9" t="n">
        <v>-220000</v>
      </c>
      <c r="Y4" s="9" t="n">
        <v>0</v>
      </c>
      <c r="Z4" s="9" t="n">
        <v>0</v>
      </c>
      <c r="AA4" s="9" t="n">
        <v>0</v>
      </c>
      <c r="AB4" s="9" t="n">
        <v>0</v>
      </c>
      <c r="AC4" s="9" t="n">
        <v>0</v>
      </c>
      <c r="AD4" s="9" t="n">
        <v>0</v>
      </c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9" t="n">
        <v>0</v>
      </c>
      <c r="AN4" s="9" t="n">
        <v>0</v>
      </c>
      <c r="AO4" s="9" t="n">
        <v>0</v>
      </c>
      <c r="AP4" s="9" t="n">
        <v>0</v>
      </c>
      <c r="AQ4" s="9" t="n">
        <v>0</v>
      </c>
      <c r="AR4" s="9" t="n">
        <v>0</v>
      </c>
      <c r="AS4" s="9" t="n">
        <v>0</v>
      </c>
    </row>
    <row r="5" ht="18" customHeight="1">
      <c r="A5" s="26" t="inlineStr">
        <is>
          <t>Expensas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-136300</v>
      </c>
      <c r="I5" s="9" t="n">
        <v>-97000</v>
      </c>
      <c r="J5" s="9" t="n">
        <v>-79000</v>
      </c>
      <c r="K5" s="9" t="n">
        <v>-100000</v>
      </c>
      <c r="L5" s="9" t="n">
        <v>-87000</v>
      </c>
      <c r="M5" s="9" t="n">
        <v>-89000</v>
      </c>
      <c r="N5" s="9" t="n">
        <v>-100000</v>
      </c>
      <c r="O5" s="9" t="n">
        <v>-98000</v>
      </c>
      <c r="P5" s="9" t="n">
        <v>-109000</v>
      </c>
      <c r="Q5" s="9" t="n">
        <v>-110000</v>
      </c>
      <c r="R5" s="9" t="n">
        <v>-110000</v>
      </c>
      <c r="S5" s="9" t="n">
        <v>-110000</v>
      </c>
      <c r="T5" s="9" t="n">
        <v>-110000</v>
      </c>
      <c r="U5" s="9" t="n">
        <v>-110000</v>
      </c>
      <c r="V5" s="9" t="n">
        <v>-110000</v>
      </c>
      <c r="W5" s="9" t="n">
        <v>-110000</v>
      </c>
      <c r="X5" s="9" t="n">
        <v>-110000</v>
      </c>
      <c r="Y5" s="9" t="n">
        <v>0</v>
      </c>
      <c r="Z5" s="9" t="n">
        <v>0</v>
      </c>
      <c r="AA5" s="9" t="n">
        <v>0</v>
      </c>
      <c r="AB5" s="9" t="n">
        <v>0</v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  <c r="AL5" s="9" t="n">
        <v>0</v>
      </c>
      <c r="AM5" s="9" t="n">
        <v>0</v>
      </c>
      <c r="AN5" s="9" t="n">
        <v>0</v>
      </c>
      <c r="AO5" s="9" t="n">
        <v>0</v>
      </c>
      <c r="AP5" s="9" t="n">
        <v>0</v>
      </c>
      <c r="AQ5" s="9" t="n">
        <v>0</v>
      </c>
      <c r="AR5" s="9" t="n">
        <v>0</v>
      </c>
      <c r="AS5" s="9" t="n">
        <v>0</v>
      </c>
    </row>
    <row r="6" ht="18" customHeight="1">
      <c r="A6" s="26" t="inlineStr">
        <is>
          <t>Electricidad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-75000</v>
      </c>
      <c r="I6" s="9" t="n">
        <v>-70000</v>
      </c>
      <c r="J6" s="9" t="n">
        <v>-75000</v>
      </c>
      <c r="K6" s="9" t="n">
        <v>-100000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ht="18" customHeight="1">
      <c r="A7" s="26" t="inlineStr">
        <is>
          <t>Cuenta Corriente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-21000</v>
      </c>
      <c r="J7" s="9" t="n">
        <v>-18000</v>
      </c>
      <c r="K7" s="9" t="n">
        <v>-18000</v>
      </c>
      <c r="L7" s="9" t="n">
        <v>-18000</v>
      </c>
      <c r="M7" s="9" t="n">
        <v>-20000</v>
      </c>
      <c r="N7" s="9" t="n">
        <v>-22000</v>
      </c>
      <c r="O7" s="9" t="n">
        <v>-21000</v>
      </c>
      <c r="P7" s="9" t="n">
        <v>-21000</v>
      </c>
      <c r="Q7" s="9" t="n">
        <v>-27880</v>
      </c>
      <c r="R7" s="9" t="n">
        <v>-27880</v>
      </c>
      <c r="S7" s="9" t="n">
        <v>-27880</v>
      </c>
      <c r="T7" s="9" t="n">
        <v>-27880</v>
      </c>
      <c r="U7" s="9" t="n">
        <v>-27880</v>
      </c>
      <c r="V7" s="9" t="n">
        <v>-27880</v>
      </c>
      <c r="W7" s="9" t="n">
        <v>-27880</v>
      </c>
      <c r="X7" s="9" t="n">
        <v>-22000</v>
      </c>
      <c r="Y7" s="9" t="n">
        <v>0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9" t="n">
        <v>0</v>
      </c>
      <c r="AO7" s="9" t="n">
        <v>0</v>
      </c>
      <c r="AP7" s="9" t="n">
        <v>0</v>
      </c>
      <c r="AQ7" s="9" t="n">
        <v>0</v>
      </c>
      <c r="AR7" s="9" t="n">
        <v>0</v>
      </c>
      <c r="AS7" s="9" t="n">
        <v>0</v>
      </c>
    </row>
    <row r="8" ht="18" customHeight="1">
      <c r="A8" s="26" t="inlineStr">
        <is>
          <t>Línea Celular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-89600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</row>
    <row r="9" ht="18" customHeight="1">
      <c r="A9" s="26" t="inlineStr">
        <is>
          <t>Transporte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-55804</v>
      </c>
      <c r="O9" s="9" t="n">
        <v>-18601.26</v>
      </c>
      <c r="P9" s="9" t="n">
        <v>-18601.26</v>
      </c>
      <c r="Q9" s="9" t="n">
        <v>-18601.26</v>
      </c>
      <c r="R9" s="9" t="n">
        <v>-18601.26</v>
      </c>
      <c r="S9" s="9" t="n">
        <v>-18601.26</v>
      </c>
      <c r="T9" s="9" t="n">
        <v>-18601.26</v>
      </c>
      <c r="U9" s="9" t="n">
        <v>-18601.26</v>
      </c>
      <c r="V9" s="9" t="n">
        <v>-18601.26</v>
      </c>
      <c r="W9" s="9" t="n">
        <v>-18601.26</v>
      </c>
      <c r="X9" s="9" t="n">
        <v>-18601.26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  <c r="AI9" s="9" t="n">
        <v>0</v>
      </c>
      <c r="AJ9" s="9" t="n">
        <v>0</v>
      </c>
      <c r="AK9" s="9" t="n">
        <v>0</v>
      </c>
      <c r="AL9" s="9" t="n">
        <v>0</v>
      </c>
      <c r="AM9" s="9" t="n">
        <v>0</v>
      </c>
      <c r="AN9" s="9" t="n">
        <v>0</v>
      </c>
      <c r="AO9" s="9" t="n">
        <v>0</v>
      </c>
      <c r="AP9" s="9" t="n">
        <v>0</v>
      </c>
      <c r="AQ9" s="9" t="n">
        <v>0</v>
      </c>
      <c r="AR9" s="9" t="n">
        <v>0</v>
      </c>
      <c r="AS9" s="9" t="n">
        <v>0</v>
      </c>
    </row>
    <row r="10" ht="18" customHeight="1">
      <c r="A10" s="26" t="inlineStr">
        <is>
          <t>Impuesto Municipal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0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</row>
    <row r="11">
      <c r="A11" s="27" t="inlineStr">
        <is>
          <t>TOTAL</t>
        </is>
      </c>
      <c r="B11" s="28">
        <f>SUM(B4:B10)</f>
        <v/>
      </c>
      <c r="C11" s="28">
        <f>SUM(C4:C10)</f>
        <v/>
      </c>
      <c r="D11" s="28">
        <f>SUM(D4:D10)</f>
        <v/>
      </c>
      <c r="E11" s="28">
        <f>SUM(E4:E10)</f>
        <v/>
      </c>
      <c r="F11" s="28">
        <f>SUM(F4:F10)</f>
        <v/>
      </c>
      <c r="G11" s="28">
        <f>SUM(G4:G10)</f>
        <v/>
      </c>
      <c r="H11" s="28">
        <f>SUM(H4:H10)</f>
        <v/>
      </c>
      <c r="I11" s="28">
        <f>SUM(I4:I10)</f>
        <v/>
      </c>
      <c r="J11" s="28">
        <f>SUM(J4:J10)</f>
        <v/>
      </c>
      <c r="K11" s="28">
        <f>SUM(K4:K10)</f>
        <v/>
      </c>
      <c r="L11" s="28">
        <f>SUM(L4:L10)</f>
        <v/>
      </c>
      <c r="M11" s="28">
        <f>SUM(M4:M10)</f>
        <v/>
      </c>
      <c r="N11" s="28">
        <f>SUM(N4:N10)</f>
        <v/>
      </c>
      <c r="O11" s="28">
        <f>SUM(O4:O10)</f>
        <v/>
      </c>
      <c r="P11" s="28">
        <f>SUM(P4:P10)</f>
        <v/>
      </c>
      <c r="Q11" s="28">
        <f>SUM(Q4:Q10)</f>
        <v/>
      </c>
      <c r="R11" s="28">
        <f>SUM(R4:R10)</f>
        <v/>
      </c>
      <c r="S11" s="28">
        <f>SUM(S4:S10)</f>
        <v/>
      </c>
      <c r="T11" s="28">
        <f>SUM(T4:T10)</f>
        <v/>
      </c>
      <c r="U11" s="28">
        <f>SUM(U4:U10)</f>
        <v/>
      </c>
      <c r="V11" s="28">
        <f>SUM(V4:V10)</f>
        <v/>
      </c>
      <c r="W11" s="28">
        <f>SUM(W4:W10)</f>
        <v/>
      </c>
      <c r="X11" s="28">
        <f>SUM(X4:X10)</f>
        <v/>
      </c>
      <c r="Y11" s="28">
        <f>SUM(Y4:Y10)</f>
        <v/>
      </c>
      <c r="Z11" s="28">
        <f>SUM(Z4:Z10)</f>
        <v/>
      </c>
      <c r="AA11" s="28">
        <f>SUM(AA4:AA10)</f>
        <v/>
      </c>
      <c r="AB11" s="28">
        <f>SUM(AB4:AB10)</f>
        <v/>
      </c>
      <c r="AC11" s="28">
        <f>SUM(AC4:AC10)</f>
        <v/>
      </c>
      <c r="AD11" s="28">
        <f>SUM(AD4:AD10)</f>
        <v/>
      </c>
      <c r="AE11" s="28">
        <f>SUM(AE4:AE10)</f>
        <v/>
      </c>
      <c r="AF11" s="28">
        <f>SUM(AF4:AF10)</f>
        <v/>
      </c>
      <c r="AG11" s="28">
        <f>SUM(AG4:AG10)</f>
        <v/>
      </c>
      <c r="AH11" s="28">
        <f>SUM(AH4:AH10)</f>
        <v/>
      </c>
      <c r="AI11" s="28">
        <f>SUM(AI4:AI10)</f>
        <v/>
      </c>
      <c r="AJ11" s="28">
        <f>SUM(AJ4:AJ10)</f>
        <v/>
      </c>
      <c r="AK11" s="28">
        <f>SUM(AK4:AK10)</f>
        <v/>
      </c>
      <c r="AL11" s="28">
        <f>SUM(AL4:AL10)</f>
        <v/>
      </c>
      <c r="AM11" s="28">
        <f>SUM(AM4:AM10)</f>
        <v/>
      </c>
      <c r="AN11" s="28">
        <f>SUM(AN4:AN10)</f>
        <v/>
      </c>
      <c r="AO11" s="28">
        <f>SUM(AO4:AO10)</f>
        <v/>
      </c>
      <c r="AP11" s="28">
        <f>SUM(AP4:AP10)</f>
        <v/>
      </c>
      <c r="AQ11" s="28">
        <f>SUM(AQ4:AQ10)</f>
        <v/>
      </c>
      <c r="AR11" s="28">
        <f>SUM(AR4:AR10)</f>
        <v/>
      </c>
      <c r="AS11" s="28">
        <f>SUM(AS4:AS10)</f>
        <v/>
      </c>
    </row>
  </sheetData>
  <mergeCells count="1">
    <mergeCell ref="A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29" t="inlineStr">
        <is>
          <t>📋 DEUDAS &amp; GASTOS VARIOS</t>
        </is>
      </c>
    </row>
    <row r="4" ht="18" customHeight="1">
      <c r="A4" s="30" t="inlineStr">
        <is>
          <t>Papá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-250000</v>
      </c>
      <c r="L4" s="11" t="n">
        <v>0</v>
      </c>
      <c r="M4" s="11" t="n"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  <c r="AM4" s="11" t="n">
        <v>0</v>
      </c>
      <c r="AN4" s="11" t="n">
        <v>0</v>
      </c>
      <c r="AO4" s="11" t="n">
        <v>0</v>
      </c>
      <c r="AP4" s="11" t="n">
        <v>0</v>
      </c>
      <c r="AQ4" s="11" t="n">
        <v>0</v>
      </c>
      <c r="AR4" s="11" t="n">
        <v>0</v>
      </c>
      <c r="AS4" s="11" t="n">
        <v>0</v>
      </c>
    </row>
    <row r="5" ht="18" customHeight="1">
      <c r="A5" s="30" t="inlineStr">
        <is>
          <t>Juani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1" t="n">
        <v>0</v>
      </c>
      <c r="AM5" s="11" t="n">
        <v>0</v>
      </c>
      <c r="AN5" s="11" t="n">
        <v>0</v>
      </c>
      <c r="AO5" s="11" t="n">
        <v>0</v>
      </c>
      <c r="AP5" s="11" t="n">
        <v>0</v>
      </c>
      <c r="AQ5" s="11" t="n">
        <v>0</v>
      </c>
      <c r="AR5" s="11" t="n">
        <v>0</v>
      </c>
      <c r="AS5" s="11" t="n">
        <v>0</v>
      </c>
    </row>
    <row r="6" ht="18" customHeight="1">
      <c r="A6" s="30" t="inlineStr">
        <is>
          <t>Leo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-200000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0</v>
      </c>
      <c r="Z6" s="11" t="n">
        <v>0</v>
      </c>
      <c r="AA6" s="11" t="n">
        <v>0</v>
      </c>
      <c r="AB6" s="11" t="n">
        <v>0</v>
      </c>
      <c r="AC6" s="11" t="n">
        <v>0</v>
      </c>
      <c r="AD6" s="11" t="n">
        <v>0</v>
      </c>
      <c r="AE6" s="11" t="n">
        <v>0</v>
      </c>
      <c r="AF6" s="11" t="n">
        <v>0</v>
      </c>
      <c r="AG6" s="11" t="n">
        <v>0</v>
      </c>
      <c r="AH6" s="11" t="n">
        <v>0</v>
      </c>
      <c r="AI6" s="11" t="n">
        <v>0</v>
      </c>
      <c r="AJ6" s="11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1" t="n">
        <v>0</v>
      </c>
      <c r="AQ6" s="11" t="n">
        <v>0</v>
      </c>
      <c r="AR6" s="11" t="n">
        <v>0</v>
      </c>
      <c r="AS6" s="11" t="n">
        <v>0</v>
      </c>
    </row>
    <row r="7" ht="18" customHeight="1">
      <c r="A7" s="30" t="inlineStr">
        <is>
          <t>Entradas a casamiento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-85000</v>
      </c>
      <c r="R7" s="11" t="n">
        <v>-70000</v>
      </c>
      <c r="S7" s="11" t="n">
        <v>-70000</v>
      </c>
      <c r="T7" s="11" t="n">
        <v>-70000</v>
      </c>
      <c r="U7" s="11" t="n">
        <v>-70000</v>
      </c>
      <c r="V7" s="11" t="n">
        <v>-70000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 ht="18" customHeight="1">
      <c r="A8" s="30" t="inlineStr">
        <is>
          <t>Gastos Varios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500000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665000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800000</v>
      </c>
      <c r="S8" s="11" t="n">
        <v>0</v>
      </c>
      <c r="T8" s="11" t="n">
        <v>0</v>
      </c>
      <c r="U8" s="11" t="n">
        <v>0</v>
      </c>
      <c r="V8" s="11" t="n">
        <v>0</v>
      </c>
      <c r="W8" s="11" t="n">
        <v>0</v>
      </c>
      <c r="X8" s="11" t="n">
        <v>800000</v>
      </c>
      <c r="Y8" s="11" t="n">
        <v>0</v>
      </c>
      <c r="Z8" s="11" t="n">
        <v>0</v>
      </c>
      <c r="AA8" s="11" t="n"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</v>
      </c>
      <c r="AJ8" s="11" t="n">
        <v>0</v>
      </c>
      <c r="AK8" s="11" t="n">
        <v>0</v>
      </c>
      <c r="AL8" s="11" t="n">
        <v>0</v>
      </c>
      <c r="AM8" s="11" t="n">
        <v>0</v>
      </c>
      <c r="AN8" s="11" t="n">
        <v>0</v>
      </c>
      <c r="AO8" s="11" t="n">
        <v>0</v>
      </c>
      <c r="AP8" s="11" t="n">
        <v>0</v>
      </c>
      <c r="AQ8" s="11" t="n">
        <v>0</v>
      </c>
      <c r="AR8" s="11" t="n">
        <v>0</v>
      </c>
      <c r="AS8" s="11" t="n">
        <v>0</v>
      </c>
    </row>
    <row r="9" ht="18" customHeight="1">
      <c r="A9" s="30" t="inlineStr">
        <is>
          <t>Aguinaldos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-760000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150000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450000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1" t="n">
        <v>0</v>
      </c>
      <c r="AQ9" s="11" t="n">
        <v>0</v>
      </c>
      <c r="AR9" s="11" t="n">
        <v>0</v>
      </c>
      <c r="AS9" s="11" t="n">
        <v>0</v>
      </c>
    </row>
    <row r="10" ht="18" customHeight="1">
      <c r="A10" s="30" t="inlineStr">
        <is>
          <t>Mes adelantado + % contrato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-32000</v>
      </c>
      <c r="M10" s="11" t="n">
        <v>-34000</v>
      </c>
      <c r="N10" s="11" t="n">
        <v>-35000</v>
      </c>
      <c r="O10" s="11" t="n">
        <v>-35000</v>
      </c>
      <c r="P10" s="11" t="n">
        <v>-35000</v>
      </c>
      <c r="Q10" s="11" t="n">
        <v>-35000</v>
      </c>
      <c r="R10" s="11" t="n">
        <v>-35000</v>
      </c>
      <c r="S10" s="11" t="n">
        <v>-35000</v>
      </c>
      <c r="T10" s="11" t="n">
        <v>-35000</v>
      </c>
      <c r="U10" s="11" t="n">
        <v>-35000</v>
      </c>
      <c r="V10" s="11" t="n">
        <v>-35000</v>
      </c>
      <c r="W10" s="11" t="n">
        <v>-35000</v>
      </c>
      <c r="X10" s="11" t="n">
        <v>-35000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  <c r="AM10" s="11" t="n">
        <v>0</v>
      </c>
      <c r="AN10" s="11" t="n">
        <v>0</v>
      </c>
      <c r="AO10" s="11" t="n">
        <v>0</v>
      </c>
      <c r="AP10" s="11" t="n">
        <v>0</v>
      </c>
      <c r="AQ10" s="11" t="n">
        <v>0</v>
      </c>
      <c r="AR10" s="11" t="n">
        <v>0</v>
      </c>
      <c r="AS10" s="11" t="n">
        <v>0</v>
      </c>
    </row>
    <row r="11" ht="18" customHeight="1">
      <c r="A11" s="30" t="inlineStr">
        <is>
          <t>Servicios de alquiler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-380000</v>
      </c>
      <c r="G11" s="11" t="n">
        <v>-380000</v>
      </c>
      <c r="H11" s="11" t="n">
        <v>-380000</v>
      </c>
      <c r="I11" s="11" t="n">
        <v>-402860</v>
      </c>
      <c r="J11" s="11" t="n">
        <v>-402860</v>
      </c>
      <c r="K11" s="11" t="n">
        <v>-402860</v>
      </c>
      <c r="L11" s="11" t="n">
        <v>-435000</v>
      </c>
      <c r="M11" s="11" t="n">
        <v>-435000</v>
      </c>
      <c r="N11" s="11" t="n">
        <v>-435000</v>
      </c>
      <c r="O11" s="11" t="n">
        <v>-470000</v>
      </c>
      <c r="P11" s="11" t="n">
        <v>-470000</v>
      </c>
      <c r="Q11" s="11" t="n">
        <v>-470000</v>
      </c>
      <c r="R11" s="11" t="n">
        <v>-515000</v>
      </c>
      <c r="S11" s="11" t="n">
        <v>-515000</v>
      </c>
      <c r="T11" s="11" t="n">
        <v>-515000</v>
      </c>
      <c r="U11" s="11" t="n">
        <v>-535000</v>
      </c>
      <c r="V11" s="11" t="n">
        <v>-535000</v>
      </c>
      <c r="W11" s="11" t="n">
        <v>-535000</v>
      </c>
      <c r="X11" s="11" t="n">
        <v>-567000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v>0</v>
      </c>
      <c r="AI11" s="11" t="n">
        <v>0</v>
      </c>
      <c r="AJ11" s="11" t="n">
        <v>0</v>
      </c>
      <c r="AK11" s="11" t="n">
        <v>0</v>
      </c>
      <c r="AL11" s="11" t="n">
        <v>0</v>
      </c>
      <c r="AM11" s="11" t="n">
        <v>0</v>
      </c>
      <c r="AN11" s="11" t="n">
        <v>0</v>
      </c>
      <c r="AO11" s="11" t="n">
        <v>0</v>
      </c>
      <c r="AP11" s="11" t="n">
        <v>0</v>
      </c>
      <c r="AQ11" s="11" t="n">
        <v>0</v>
      </c>
      <c r="AR11" s="11" t="n">
        <v>0</v>
      </c>
      <c r="AS11" s="11" t="n">
        <v>0</v>
      </c>
    </row>
    <row r="12" ht="18" customHeight="1">
      <c r="A12" s="30" t="inlineStr">
        <is>
          <t>Alquiler</t>
        </is>
      </c>
      <c r="B12" s="11" t="n">
        <v>-2307584.01</v>
      </c>
      <c r="C12" s="11" t="n">
        <v>-1341061.69</v>
      </c>
      <c r="D12" s="11" t="n">
        <v>-2287461.69</v>
      </c>
      <c r="E12" s="11" t="n">
        <v>-2713870</v>
      </c>
      <c r="F12" s="11" t="n">
        <v>-3040870</v>
      </c>
      <c r="G12" s="11" t="n">
        <v>-3418070</v>
      </c>
      <c r="H12" s="11" t="n">
        <v>-7570077</v>
      </c>
      <c r="I12" s="11" t="n">
        <v>-2752060</v>
      </c>
      <c r="J12" s="11" t="n">
        <v>-3556160</v>
      </c>
      <c r="K12" s="11" t="n">
        <v>-3099360</v>
      </c>
      <c r="L12" s="11" t="n">
        <v>-1968000</v>
      </c>
      <c r="M12" s="11" t="n">
        <v>-1899600</v>
      </c>
      <c r="N12" s="11" t="n">
        <v>-2065804</v>
      </c>
      <c r="O12" s="11" t="n">
        <v>-1472601.26</v>
      </c>
      <c r="P12" s="11" t="n">
        <v>-1752601.26</v>
      </c>
      <c r="Q12" s="11" t="n">
        <v>-1993481.26</v>
      </c>
      <c r="R12" s="11" t="n">
        <v>-2020481.26</v>
      </c>
      <c r="S12" s="11" t="n">
        <v>-2069481.26</v>
      </c>
      <c r="T12" s="11" t="n">
        <v>-1569481.26</v>
      </c>
      <c r="U12" s="11" t="n">
        <v>-1589481.26</v>
      </c>
      <c r="V12" s="11" t="n">
        <v>-1589481.26</v>
      </c>
      <c r="W12" s="11" t="n">
        <v>-1319481.26</v>
      </c>
      <c r="X12" s="11" t="n">
        <v>103398.74</v>
      </c>
      <c r="Y12" s="11" t="n">
        <v>-139000</v>
      </c>
      <c r="Z12" s="11" t="n">
        <v>-139000</v>
      </c>
      <c r="AA12" s="11" t="n">
        <v>-139000</v>
      </c>
      <c r="AB12" s="11" t="n">
        <v>-139000</v>
      </c>
      <c r="AC12" s="11" t="n">
        <v>-139000</v>
      </c>
      <c r="AD12" s="11" t="n">
        <v>-139000</v>
      </c>
      <c r="AE12" s="11" t="n">
        <v>-139000</v>
      </c>
      <c r="AF12" s="11" t="n">
        <v>-139000</v>
      </c>
      <c r="AG12" s="11" t="n">
        <v>-139000</v>
      </c>
      <c r="AH12" s="11" t="n">
        <v>-139000</v>
      </c>
      <c r="AI12" s="11" t="n">
        <v>-139000</v>
      </c>
      <c r="AJ12" s="11" t="n">
        <v>0</v>
      </c>
      <c r="AK12" s="11" t="n">
        <v>0</v>
      </c>
      <c r="AL12" s="11" t="n">
        <v>0</v>
      </c>
      <c r="AM12" s="11" t="n">
        <v>0</v>
      </c>
      <c r="AN12" s="11" t="n">
        <v>0</v>
      </c>
      <c r="AO12" s="11" t="n">
        <v>0</v>
      </c>
      <c r="AP12" s="11" t="n">
        <v>0</v>
      </c>
      <c r="AQ12" s="11" t="n">
        <v>0</v>
      </c>
      <c r="AR12" s="11" t="n">
        <v>0</v>
      </c>
      <c r="AS12" s="11" t="n">
        <v>0</v>
      </c>
    </row>
    <row r="13">
      <c r="A13" s="31" t="inlineStr">
        <is>
          <t>TOTAL</t>
        </is>
      </c>
      <c r="B13" s="32">
        <f>SUM(B4:B12)</f>
        <v/>
      </c>
      <c r="C13" s="32">
        <f>SUM(C4:C12)</f>
        <v/>
      </c>
      <c r="D13" s="32">
        <f>SUM(D4:D12)</f>
        <v/>
      </c>
      <c r="E13" s="32">
        <f>SUM(E4:E12)</f>
        <v/>
      </c>
      <c r="F13" s="32">
        <f>SUM(F4:F12)</f>
        <v/>
      </c>
      <c r="G13" s="32">
        <f>SUM(G4:G12)</f>
        <v/>
      </c>
      <c r="H13" s="32">
        <f>SUM(H4:H12)</f>
        <v/>
      </c>
      <c r="I13" s="32">
        <f>SUM(I4:I12)</f>
        <v/>
      </c>
      <c r="J13" s="32">
        <f>SUM(J4:J12)</f>
        <v/>
      </c>
      <c r="K13" s="32">
        <f>SUM(K4:K12)</f>
        <v/>
      </c>
      <c r="L13" s="32">
        <f>SUM(L4:L12)</f>
        <v/>
      </c>
      <c r="M13" s="32">
        <f>SUM(M4:M12)</f>
        <v/>
      </c>
      <c r="N13" s="32">
        <f>SUM(N4:N12)</f>
        <v/>
      </c>
      <c r="O13" s="32">
        <f>SUM(O4:O12)</f>
        <v/>
      </c>
      <c r="P13" s="32">
        <f>SUM(P4:P12)</f>
        <v/>
      </c>
      <c r="Q13" s="32">
        <f>SUM(Q4:Q12)</f>
        <v/>
      </c>
      <c r="R13" s="32">
        <f>SUM(R4:R12)</f>
        <v/>
      </c>
      <c r="S13" s="32">
        <f>SUM(S4:S12)</f>
        <v/>
      </c>
      <c r="T13" s="32">
        <f>SUM(T4:T12)</f>
        <v/>
      </c>
      <c r="U13" s="32">
        <f>SUM(U4:U12)</f>
        <v/>
      </c>
      <c r="V13" s="32">
        <f>SUM(V4:V12)</f>
        <v/>
      </c>
      <c r="W13" s="32">
        <f>SUM(W4:W12)</f>
        <v/>
      </c>
      <c r="X13" s="32">
        <f>SUM(X4:X12)</f>
        <v/>
      </c>
      <c r="Y13" s="32">
        <f>SUM(Y4:Y12)</f>
        <v/>
      </c>
      <c r="Z13" s="32">
        <f>SUM(Z4:Z12)</f>
        <v/>
      </c>
      <c r="AA13" s="32">
        <f>SUM(AA4:AA12)</f>
        <v/>
      </c>
      <c r="AB13" s="32">
        <f>SUM(AB4:AB12)</f>
        <v/>
      </c>
      <c r="AC13" s="32">
        <f>SUM(AC4:AC12)</f>
        <v/>
      </c>
      <c r="AD13" s="32">
        <f>SUM(AD4:AD12)</f>
        <v/>
      </c>
      <c r="AE13" s="32">
        <f>SUM(AE4:AE12)</f>
        <v/>
      </c>
      <c r="AF13" s="32">
        <f>SUM(AF4:AF12)</f>
        <v/>
      </c>
      <c r="AG13" s="32">
        <f>SUM(AG4:AG12)</f>
        <v/>
      </c>
      <c r="AH13" s="32">
        <f>SUM(AH4:AH12)</f>
        <v/>
      </c>
      <c r="AI13" s="32">
        <f>SUM(AI4:AI12)</f>
        <v/>
      </c>
      <c r="AJ13" s="32">
        <f>SUM(AJ4:AJ12)</f>
        <v/>
      </c>
      <c r="AK13" s="32">
        <f>SUM(AK4:AK12)</f>
        <v/>
      </c>
      <c r="AL13" s="32">
        <f>SUM(AL4:AL12)</f>
        <v/>
      </c>
      <c r="AM13" s="32">
        <f>SUM(AM4:AM12)</f>
        <v/>
      </c>
      <c r="AN13" s="32">
        <f>SUM(AN4:AN12)</f>
        <v/>
      </c>
      <c r="AO13" s="32">
        <f>SUM(AO4:AO12)</f>
        <v/>
      </c>
      <c r="AP13" s="32">
        <f>SUM(AP4:AP12)</f>
        <v/>
      </c>
      <c r="AQ13" s="32">
        <f>SUM(AQ4:AQ12)</f>
        <v/>
      </c>
      <c r="AR13" s="32">
        <f>SUM(AR4:AR12)</f>
        <v/>
      </c>
      <c r="AS13" s="32">
        <f>SUM(AS4:AS12)</f>
        <v/>
      </c>
    </row>
  </sheetData>
  <mergeCells count="1">
    <mergeCell ref="A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3" t="inlineStr">
        <is>
          <t>📌 DATOS DE REFERENCIA - ALQUILERES</t>
        </is>
      </c>
    </row>
    <row r="2">
      <c r="A2" s="33" t="inlineStr">
        <is>
          <t>Concepto</t>
        </is>
      </c>
      <c r="B2" s="33" t="inlineStr">
        <is>
          <t>Alquiler Actual</t>
        </is>
      </c>
      <c r="C2" s="33" t="inlineStr">
        <is>
          <t>Alquiler E. Vieja</t>
        </is>
      </c>
      <c r="D2" s="33" t="inlineStr">
        <is>
          <t>Diferencia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2026-06-27T09:55:10Z</dcterms:created>
  <dcterms:modified xmlns:dcterms="http://purl.org/dc/terms/" xmlns:xsi="http://www.w3.org/2001/XMLSchema-instance" xsi:type="dcterms:W3CDTF">2026-06-27T09:55:10Z</dcterms:modified>
</cp:coreProperties>
</file>