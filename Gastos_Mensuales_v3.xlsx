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Panel Principal" sheetId="1" state="visible" r:id="rId1"/>
    <sheet xmlns:r="http://schemas.openxmlformats.org/officeDocument/2006/relationships" name="Tarjetas_Bancos" sheetId="2" state="visible" r:id="rId2"/>
    <sheet xmlns:r="http://schemas.openxmlformats.org/officeDocument/2006/relationships" name="Gastos_Personales" sheetId="3" state="visible" r:id="rId3"/>
    <sheet xmlns:r="http://schemas.openxmlformats.org/officeDocument/2006/relationships" name="Hogar" sheetId="4" state="visible" r:id="rId4"/>
    <sheet xmlns:r="http://schemas.openxmlformats.org/officeDocument/2006/relationships" name="Deudas_Varios" sheetId="5" state="visible" r:id="rId5"/>
    <sheet xmlns:r="http://schemas.openxmlformats.org/officeDocument/2006/relationships" name="Referencia" sheetId="6" state="visible" r:id="rId6"/>
    <sheet xmlns:r="http://schemas.openxmlformats.org/officeDocument/2006/relationships" name="Objetivos" sheetId="7" state="visible" r:id="rId7"/>
  </sheets>
  <definedNames/>
  <calcPr calcId="125725" fullCalcOnLoad="1" iterateDelta="0.0001"/>
</workbook>
</file>

<file path=xl/styles.xml><?xml version="1.0" encoding="utf-8"?>
<styleSheet xmlns="http://schemas.openxmlformats.org/spreadsheetml/2006/main">
  <numFmts count="3">
    <numFmt numFmtId="164" formatCode="#,##0;\(#,##0\);\-"/>
    <numFmt numFmtId="165" formatCode="#,##0;(#,##0);-"/>
    <numFmt numFmtId="166" formatCode="0.0%;-;-"/>
  </numFmts>
  <fonts count="19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000000"/>
      <sz val="10"/>
    </font>
    <font>
      <name val="Arial"/>
      <charset val="1"/>
      <color rgb="FF000000"/>
      <sz val="10"/>
    </font>
    <font>
      <name val="Arial"/>
      <charset val="1"/>
      <b val="1"/>
      <sz val="11"/>
    </font>
    <font>
      <name val="Arial"/>
      <charset val="1"/>
      <b val="1"/>
      <sz val="10"/>
    </font>
    <font>
      <name val="Arial"/>
      <charset val="1"/>
      <b val="1"/>
      <color rgb="FFC00000"/>
      <sz val="10"/>
    </font>
    <font>
      <name val="Arial"/>
      <charset val="1"/>
      <b val="1"/>
      <color rgb="FF375623"/>
      <sz val="10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color rgb="00808080"/>
      <sz val="10"/>
    </font>
    <font>
      <name val="Arial"/>
      <b val="1"/>
      <sz val="10"/>
    </font>
    <font>
      <name val="Arial"/>
      <color rgb="001F3864"/>
      <sz val="10"/>
    </font>
  </fonts>
  <fills count="25">
    <fill>
      <patternFill/>
    </fill>
    <fill>
      <patternFill patternType="gray125"/>
    </fill>
    <fill>
      <patternFill patternType="solid">
        <fgColor rgb="FF1F3864"/>
        <bgColor rgb="FF2E5090"/>
      </patternFill>
    </fill>
    <fill>
      <patternFill patternType="solid">
        <fgColor rgb="FF2E5090"/>
        <bgColor rgb="FF1F3864"/>
      </patternFill>
    </fill>
    <fill>
      <patternFill patternType="solid">
        <fgColor rgb="FFD6E4F0"/>
        <bgColor rgb="FFD5E8D4"/>
      </patternFill>
    </fill>
    <fill>
      <patternFill patternType="solid">
        <fgColor rgb="FFD5E8D4"/>
        <bgColor rgb="FFD6E4F0"/>
      </patternFill>
    </fill>
    <fill>
      <patternFill patternType="solid">
        <fgColor rgb="FFFCE4D6"/>
        <bgColor rgb="FFFFE0E0"/>
      </patternFill>
    </fill>
    <fill>
      <patternFill patternType="solid">
        <fgColor rgb="FFEAD1DC"/>
        <bgColor rgb="FFFFE0E0"/>
      </patternFill>
    </fill>
    <fill>
      <patternFill patternType="solid">
        <fgColor rgb="FFE8E8E8"/>
        <bgColor rgb="FFD6E4F0"/>
      </patternFill>
    </fill>
    <fill>
      <patternFill patternType="solid">
        <fgColor rgb="FF1E5631"/>
        <bgColor rgb="FF375623"/>
      </patternFill>
    </fill>
    <fill>
      <patternFill patternType="solid">
        <fgColor rgb="FFFFF2CC"/>
        <bgColor rgb="FFFCE4D6"/>
      </patternFill>
    </fill>
    <fill>
      <patternFill patternType="solid">
        <fgColor rgb="FFFFE0E0"/>
        <bgColor rgb="FFFCE4D6"/>
      </patternFill>
    </fill>
    <fill>
      <patternFill patternType="solid">
        <fgColor rgb="FFB8D4E8"/>
        <bgColor rgb="FFD6E4F0"/>
      </patternFill>
    </fill>
    <fill>
      <patternFill patternType="solid">
        <fgColor rgb="FFA8D4A8"/>
        <bgColor rgb="FFB8D4E8"/>
      </patternFill>
    </fill>
    <fill>
      <patternFill patternType="solid">
        <fgColor rgb="FFC65911"/>
        <bgColor rgb="FF993300"/>
      </patternFill>
    </fill>
    <fill>
      <patternFill patternType="solid">
        <fgColor rgb="FFF4C4A0"/>
        <bgColor rgb="FFEAD1DC"/>
      </patternFill>
    </fill>
    <fill>
      <patternFill patternType="solid">
        <fgColor rgb="FF4B0082"/>
        <bgColor rgb="FF800080"/>
      </patternFill>
    </fill>
    <fill>
      <patternFill patternType="solid">
        <fgColor rgb="FFD4A8C8"/>
        <bgColor rgb="FFAAAAAA"/>
      </patternFill>
    </fill>
    <fill>
      <patternFill patternType="solid">
        <fgColor rgb="001F3864"/>
      </patternFill>
    </fill>
    <fill>
      <patternFill patternType="solid">
        <fgColor rgb="002E5090"/>
      </patternFill>
    </fill>
    <fill>
      <patternFill patternType="solid">
        <fgColor rgb="00D6E4F0"/>
      </patternFill>
    </fill>
    <fill>
      <patternFill patternType="solid">
        <fgColor rgb="00D5E8D4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8E8E8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164" fontId="5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left" vertical="center"/>
    </xf>
    <xf numFmtId="164" fontId="7" fillId="8" borderId="1" applyAlignment="1" pivotButton="0" quotePrefix="0" xfId="0">
      <alignment horizontal="righ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left" vertical="center"/>
    </xf>
    <xf numFmtId="164" fontId="8" fillId="11" borderId="1" applyAlignment="1" pivotButton="0" quotePrefix="0" xfId="0">
      <alignment horizontal="right" vertical="center"/>
    </xf>
    <xf numFmtId="164" fontId="9" fillId="5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/>
    </xf>
    <xf numFmtId="164" fontId="7" fillId="12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/>
    </xf>
    <xf numFmtId="164" fontId="7" fillId="13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/>
    </xf>
    <xf numFmtId="164" fontId="7" fillId="15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  <xf numFmtId="0" fontId="6" fillId="17" borderId="1" applyAlignment="1" pivotButton="0" quotePrefix="0" xfId="0">
      <alignment horizontal="left" vertical="center"/>
    </xf>
    <xf numFmtId="164" fontId="7" fillId="17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4" borderId="0" applyAlignment="1" pivotButton="0" quotePrefix="0" xfId="0">
      <alignment horizontal="center" vertical="center" wrapText="1"/>
    </xf>
    <xf numFmtId="0" fontId="3" fillId="16" borderId="0" applyAlignment="1" pivotButton="0" quotePrefix="0" xfId="0">
      <alignment horizontal="center" vertical="center" wrapText="1"/>
    </xf>
    <xf numFmtId="0" fontId="10" fillId="18" borderId="2" applyAlignment="1" pivotButton="0" quotePrefix="0" xfId="0">
      <alignment horizontal="center" vertical="center" wrapText="1"/>
    </xf>
    <xf numFmtId="0" fontId="11" fillId="19" borderId="2" applyAlignment="1" pivotButton="0" quotePrefix="0" xfId="0">
      <alignment horizontal="center" vertical="center" wrapText="1"/>
    </xf>
    <xf numFmtId="0" fontId="12" fillId="20" borderId="2" applyAlignment="1" pivotButton="0" quotePrefix="0" xfId="0">
      <alignment horizontal="left" vertical="center"/>
    </xf>
    <xf numFmtId="0" fontId="13" fillId="20" borderId="2" applyAlignment="1" pivotButton="0" quotePrefix="0" xfId="0">
      <alignment horizontal="center" vertical="center"/>
    </xf>
    <xf numFmtId="165" fontId="14" fillId="20" borderId="2" applyAlignment="1" pivotButton="0" quotePrefix="0" xfId="0">
      <alignment horizontal="right" vertical="center"/>
    </xf>
    <xf numFmtId="165" fontId="13" fillId="20" borderId="2" applyAlignment="1" pivotButton="0" quotePrefix="0" xfId="0">
      <alignment horizontal="right" vertical="center"/>
    </xf>
    <xf numFmtId="166" fontId="13" fillId="20" borderId="2" applyAlignment="1" pivotButton="0" quotePrefix="0" xfId="0">
      <alignment horizontal="right" vertical="center"/>
    </xf>
    <xf numFmtId="0" fontId="13" fillId="20" borderId="2" applyAlignment="1" pivotButton="0" quotePrefix="0" xfId="0">
      <alignment horizontal="right" vertical="center"/>
    </xf>
    <xf numFmtId="0" fontId="12" fillId="21" borderId="2" applyAlignment="1" pivotButton="0" quotePrefix="0" xfId="0">
      <alignment horizontal="left" vertical="center"/>
    </xf>
    <xf numFmtId="0" fontId="13" fillId="21" borderId="2" applyAlignment="1" pivotButton="0" quotePrefix="0" xfId="0">
      <alignment horizontal="center" vertical="center"/>
    </xf>
    <xf numFmtId="165" fontId="14" fillId="21" borderId="2" applyAlignment="1" pivotButton="0" quotePrefix="0" xfId="0">
      <alignment horizontal="right" vertical="center"/>
    </xf>
    <xf numFmtId="165" fontId="13" fillId="21" borderId="2" applyAlignment="1" pivotButton="0" quotePrefix="0" xfId="0">
      <alignment horizontal="right" vertical="center"/>
    </xf>
    <xf numFmtId="166" fontId="13" fillId="21" borderId="2" applyAlignment="1" pivotButton="0" quotePrefix="0" xfId="0">
      <alignment horizontal="right" vertical="center"/>
    </xf>
    <xf numFmtId="0" fontId="13" fillId="21" borderId="2" applyAlignment="1" pivotButton="0" quotePrefix="0" xfId="0">
      <alignment horizontal="right" vertical="center"/>
    </xf>
    <xf numFmtId="0" fontId="12" fillId="22" borderId="2" applyAlignment="1" pivotButton="0" quotePrefix="0" xfId="0">
      <alignment horizontal="left" vertical="center"/>
    </xf>
    <xf numFmtId="0" fontId="13" fillId="22" borderId="2" applyAlignment="1" pivotButton="0" quotePrefix="0" xfId="0">
      <alignment horizontal="center" vertical="center"/>
    </xf>
    <xf numFmtId="165" fontId="14" fillId="22" borderId="2" applyAlignment="1" pivotButton="0" quotePrefix="0" xfId="0">
      <alignment horizontal="right" vertical="center"/>
    </xf>
    <xf numFmtId="165" fontId="13" fillId="22" borderId="2" applyAlignment="1" pivotButton="0" quotePrefix="0" xfId="0">
      <alignment horizontal="right" vertical="center"/>
    </xf>
    <xf numFmtId="166" fontId="13" fillId="22" borderId="2" applyAlignment="1" pivotButton="0" quotePrefix="0" xfId="0">
      <alignment horizontal="right" vertical="center"/>
    </xf>
    <xf numFmtId="0" fontId="13" fillId="22" borderId="2" applyAlignment="1" pivotButton="0" quotePrefix="0" xfId="0">
      <alignment horizontal="right" vertical="center"/>
    </xf>
    <xf numFmtId="0" fontId="15" fillId="18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23" borderId="2" applyAlignment="1" pivotButton="0" quotePrefix="0" xfId="0">
      <alignment horizontal="left" vertical="center"/>
    </xf>
    <xf numFmtId="165" fontId="14" fillId="23" borderId="2" applyAlignment="1" pivotButton="0" quotePrefix="0" xfId="0">
      <alignment horizontal="right" vertical="center"/>
    </xf>
    <xf numFmtId="0" fontId="12" fillId="23" borderId="2" applyAlignment="1" pivotButton="0" quotePrefix="0" xfId="0">
      <alignment horizontal="left" vertical="center"/>
    </xf>
    <xf numFmtId="0" fontId="16" fillId="23" borderId="2" applyAlignment="1" pivotButton="0" quotePrefix="0" xfId="0">
      <alignment horizontal="left" vertical="center"/>
    </xf>
    <xf numFmtId="0" fontId="12" fillId="24" borderId="2" applyAlignment="1" pivotButton="0" quotePrefix="0" xfId="0">
      <alignment horizontal="right" vertical="center"/>
    </xf>
    <xf numFmtId="165" fontId="17" fillId="24" borderId="2" applyAlignment="1" pivotButton="0" quotePrefix="0" xfId="0">
      <alignment horizontal="right" vertical="center"/>
    </xf>
    <xf numFmtId="0" fontId="11" fillId="18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4A8C8"/>
      <rgbColor rgb="FF808080"/>
      <rgbColor rgb="FF9999FF"/>
      <rgbColor rgb="FF993366"/>
      <rgbColor rgb="FFFFF2CC"/>
      <rgbColor rgb="FFD6E4F0"/>
      <rgbColor rgb="FF4B0082"/>
      <rgbColor rgb="FFFF8080"/>
      <rgbColor rgb="FF0066CC"/>
      <rgbColor rgb="FFB8D4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5E8D4"/>
      <rgbColor rgb="FFFCE4D6"/>
      <rgbColor rgb="FFA8D4A8"/>
      <rgbColor rgb="FFEAD1DC"/>
      <rgbColor rgb="FFFFE0E0"/>
      <rgbColor rgb="FFF4C4A0"/>
      <rgbColor rgb="FF3366FF"/>
      <rgbColor rgb="FF33CCCC"/>
      <rgbColor rgb="FF99CC00"/>
      <rgbColor rgb="FFFFCC00"/>
      <rgbColor rgb="FFFF9900"/>
      <rgbColor rgb="FFC65911"/>
      <rgbColor rgb="FF666699"/>
      <rgbColor rgb="FFAAAAAA"/>
      <rgbColor rgb="FF1F3864"/>
      <rgbColor rgb="FF339966"/>
      <rgbColor rgb="FF003300"/>
      <rgbColor rgb="FF1E5631"/>
      <rgbColor rgb="FF993300"/>
      <rgbColor rgb="FF993366"/>
      <rgbColor rgb="FF2E5090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6"/>
  <sheetViews>
    <sheetView tabSelected="1" zoomScaleNormal="100" workbookViewId="0">
      <pane xSplit="1" ySplit="2" topLeftCell="M3" activePane="bottomRight" state="frozen"/>
      <selection pane="topRight" activeCell="M1" sqref="M1"/>
      <selection pane="bottomLeft" activeCell="A3" sqref="A3"/>
      <selection pane="bottomRight" activeCell="A1" sqref="A1"/>
    </sheetView>
  </sheetViews>
  <sheetFormatPr baseColWidth="8" defaultColWidth="8.7109375" defaultRowHeight="15"/>
  <cols>
    <col width="28" customWidth="1" min="1" max="1"/>
    <col width="13" customWidth="1" min="2" max="45"/>
  </cols>
  <sheetData>
    <row r="1" ht="19.5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27.75" customHeight="1">
      <c r="B2" s="2" t="inlineStr">
        <is>
          <t>Marzo 2025</t>
        </is>
      </c>
      <c r="C2" s="2" t="inlineStr">
        <is>
          <t>Abril 2025</t>
        </is>
      </c>
      <c r="D2" s="2" t="inlineStr">
        <is>
          <t>Mayo 2025</t>
        </is>
      </c>
      <c r="E2" s="2" t="inlineStr">
        <is>
          <t>Junio 2025</t>
        </is>
      </c>
      <c r="F2" s="2" t="inlineStr">
        <is>
          <t>Julio 2025</t>
        </is>
      </c>
      <c r="G2" s="2" t="inlineStr">
        <is>
          <t>Agosto 2025</t>
        </is>
      </c>
      <c r="H2" s="2" t="inlineStr">
        <is>
          <t>Septiembre 2025</t>
        </is>
      </c>
      <c r="I2" s="2" t="inlineStr">
        <is>
          <t>Octubre 2025</t>
        </is>
      </c>
      <c r="J2" s="2" t="inlineStr">
        <is>
          <t>Noviembre 2025</t>
        </is>
      </c>
      <c r="K2" s="2" t="inlineStr">
        <is>
          <t>Diciembre 2025</t>
        </is>
      </c>
      <c r="L2" s="2" t="inlineStr">
        <is>
          <t>Enero 2026</t>
        </is>
      </c>
      <c r="M2" s="2" t="inlineStr">
        <is>
          <t>Febrero 2026</t>
        </is>
      </c>
      <c r="N2" s="2" t="inlineStr">
        <is>
          <t>Marzo 2026</t>
        </is>
      </c>
      <c r="O2" s="2" t="inlineStr">
        <is>
          <t>Abril 2026</t>
        </is>
      </c>
      <c r="P2" s="2" t="inlineStr">
        <is>
          <t>Mayo 2026</t>
        </is>
      </c>
      <c r="Q2" s="2" t="inlineStr">
        <is>
          <t>Junio 2026</t>
        </is>
      </c>
      <c r="R2" s="2" t="inlineStr">
        <is>
          <t>Julio 2026</t>
        </is>
      </c>
      <c r="S2" s="2" t="inlineStr">
        <is>
          <t>Agosto 2026</t>
        </is>
      </c>
      <c r="T2" s="2" t="inlineStr">
        <is>
          <t>Septiembre 2026</t>
        </is>
      </c>
      <c r="U2" s="2" t="inlineStr">
        <is>
          <t>Octubre 2026</t>
        </is>
      </c>
      <c r="V2" s="2" t="inlineStr">
        <is>
          <t>Noviembre 2026</t>
        </is>
      </c>
      <c r="W2" s="2" t="inlineStr">
        <is>
          <t>Diciembre 2026</t>
        </is>
      </c>
      <c r="X2" s="2" t="inlineStr">
        <is>
          <t>Enero 2027</t>
        </is>
      </c>
      <c r="Y2" s="2" t="inlineStr">
        <is>
          <t>Febrero 2027</t>
        </is>
      </c>
      <c r="Z2" s="2" t="inlineStr">
        <is>
          <t>Marzo 2027</t>
        </is>
      </c>
      <c r="AA2" s="2" t="inlineStr">
        <is>
          <t>Abril 2027</t>
        </is>
      </c>
      <c r="AB2" s="2" t="inlineStr">
        <is>
          <t>Mayo 2027</t>
        </is>
      </c>
      <c r="AC2" s="2" t="inlineStr">
        <is>
          <t>Junio 2027</t>
        </is>
      </c>
      <c r="AD2" s="2" t="inlineStr">
        <is>
          <t>Julio 2027</t>
        </is>
      </c>
      <c r="AE2" s="2" t="inlineStr">
        <is>
          <t>Agosto 2027</t>
        </is>
      </c>
      <c r="AF2" s="2" t="inlineStr">
        <is>
          <t>Septiembre 2027</t>
        </is>
      </c>
      <c r="AG2" s="2" t="inlineStr">
        <is>
          <t>Octubre 2027</t>
        </is>
      </c>
      <c r="AH2" s="2" t="inlineStr">
        <is>
          <t>Noviembre 2027</t>
        </is>
      </c>
      <c r="AI2" s="2" t="inlineStr">
        <is>
          <t>Diciembre 2027</t>
        </is>
      </c>
      <c r="AJ2" s="2" t="inlineStr">
        <is>
          <t>Enero 2028</t>
        </is>
      </c>
      <c r="AK2" s="2" t="inlineStr">
        <is>
          <t>Febrero 2028</t>
        </is>
      </c>
      <c r="AL2" s="2" t="inlineStr">
        <is>
          <t>Marzo 2028</t>
        </is>
      </c>
      <c r="AM2" s="2" t="inlineStr">
        <is>
          <t>Abril 2028</t>
        </is>
      </c>
      <c r="AN2" s="2" t="inlineStr">
        <is>
          <t>Mayo 2028</t>
        </is>
      </c>
      <c r="AO2" s="2" t="inlineStr">
        <is>
          <t>Junio 2028</t>
        </is>
      </c>
      <c r="AP2" s="2" t="inlineStr">
        <is>
          <t>Julio 2028</t>
        </is>
      </c>
      <c r="AQ2" s="2" t="inlineStr">
        <is>
          <t>Agosto 2028</t>
        </is>
      </c>
      <c r="AR2" s="2" t="inlineStr">
        <is>
          <t>Septiembre 2028</t>
        </is>
      </c>
      <c r="AS2" s="2" t="inlineStr">
        <is>
          <t>Octubre 2028</t>
        </is>
      </c>
    </row>
    <row r="3" ht="19.5" customHeight="1">
      <c r="A3" s="31" t="inlineStr">
        <is>
          <t>📊 RESUMEN DE GASTOS</t>
        </is>
      </c>
    </row>
    <row r="4" ht="18" customHeight="1">
      <c r="A4" s="3" t="inlineStr">
        <is>
          <t>Tarjetas &amp; Bancos</t>
        </is>
      </c>
      <c r="B4" s="4">
        <f>Tarjetas_Bancos!B13</f>
        <v/>
      </c>
      <c r="C4" s="4">
        <f>Tarjetas_Bancos!C13</f>
        <v/>
      </c>
      <c r="D4" s="4">
        <f>Tarjetas_Bancos!D13</f>
        <v/>
      </c>
      <c r="E4" s="4">
        <f>Tarjetas_Bancos!E13</f>
        <v/>
      </c>
      <c r="F4" s="4">
        <f>Tarjetas_Bancos!F13</f>
        <v/>
      </c>
      <c r="G4" s="4">
        <f>Tarjetas_Bancos!G13</f>
        <v/>
      </c>
      <c r="H4" s="4">
        <f>Tarjetas_Bancos!H13</f>
        <v/>
      </c>
      <c r="I4" s="4">
        <f>Tarjetas_Bancos!I13</f>
        <v/>
      </c>
      <c r="J4" s="4">
        <f>Tarjetas_Bancos!J13</f>
        <v/>
      </c>
      <c r="K4" s="4">
        <f>Tarjetas_Bancos!K13</f>
        <v/>
      </c>
      <c r="L4" s="4">
        <f>Tarjetas_Bancos!L13</f>
        <v/>
      </c>
      <c r="M4" s="4">
        <f>Tarjetas_Bancos!M13</f>
        <v/>
      </c>
      <c r="N4" s="4">
        <f>Tarjetas_Bancos!N13</f>
        <v/>
      </c>
      <c r="O4" s="4">
        <f>Tarjetas_Bancos!O13</f>
        <v/>
      </c>
      <c r="P4" s="4">
        <f>Tarjetas_Bancos!P13</f>
        <v/>
      </c>
      <c r="Q4" s="4">
        <f>Tarjetas_Bancos!Q13</f>
        <v/>
      </c>
      <c r="R4" s="4">
        <f>Tarjetas_Bancos!R13</f>
        <v/>
      </c>
      <c r="S4" s="4">
        <f>Tarjetas_Bancos!S13</f>
        <v/>
      </c>
      <c r="T4" s="4">
        <f>Tarjetas_Bancos!T13</f>
        <v/>
      </c>
      <c r="U4" s="4">
        <f>Tarjetas_Bancos!U13</f>
        <v/>
      </c>
      <c r="V4" s="4">
        <f>Tarjetas_Bancos!V13</f>
        <v/>
      </c>
      <c r="W4" s="4">
        <f>Tarjetas_Bancos!W13</f>
        <v/>
      </c>
      <c r="X4" s="4">
        <f>Tarjetas_Bancos!X13</f>
        <v/>
      </c>
      <c r="Y4" s="4">
        <f>Tarjetas_Bancos!Y13</f>
        <v/>
      </c>
      <c r="Z4" s="4">
        <f>Tarjetas_Bancos!Z13</f>
        <v/>
      </c>
      <c r="AA4" s="4">
        <f>Tarjetas_Bancos!AA13</f>
        <v/>
      </c>
      <c r="AB4" s="4">
        <f>Tarjetas_Bancos!AB13</f>
        <v/>
      </c>
      <c r="AC4" s="4">
        <f>Tarjetas_Bancos!AC13</f>
        <v/>
      </c>
      <c r="AD4" s="4">
        <f>Tarjetas_Bancos!AD13</f>
        <v/>
      </c>
      <c r="AE4" s="4">
        <f>Tarjetas_Bancos!AE13</f>
        <v/>
      </c>
      <c r="AF4" s="4">
        <f>Tarjetas_Bancos!AF13</f>
        <v/>
      </c>
      <c r="AG4" s="4">
        <f>Tarjetas_Bancos!AG13</f>
        <v/>
      </c>
      <c r="AH4" s="4">
        <f>Tarjetas_Bancos!AH13</f>
        <v/>
      </c>
      <c r="AI4" s="4">
        <f>Tarjetas_Bancos!AI13</f>
        <v/>
      </c>
      <c r="AJ4" s="4">
        <f>Tarjetas_Bancos!AJ13</f>
        <v/>
      </c>
      <c r="AK4" s="4">
        <f>Tarjetas_Bancos!AK13</f>
        <v/>
      </c>
      <c r="AL4" s="4">
        <f>Tarjetas_Bancos!AL13</f>
        <v/>
      </c>
      <c r="AM4" s="4">
        <f>Tarjetas_Bancos!AM13</f>
        <v/>
      </c>
      <c r="AN4" s="4">
        <f>Tarjetas_Bancos!AN13</f>
        <v/>
      </c>
      <c r="AO4" s="4">
        <f>Tarjetas_Bancos!AO13</f>
        <v/>
      </c>
      <c r="AP4" s="4">
        <f>Tarjetas_Bancos!AP13</f>
        <v/>
      </c>
      <c r="AQ4" s="4">
        <f>Tarjetas_Bancos!AQ13</f>
        <v/>
      </c>
      <c r="AR4" s="4">
        <f>Tarjetas_Bancos!AR13</f>
        <v/>
      </c>
      <c r="AS4" s="4">
        <f>Tarjetas_Bancos!AS13</f>
        <v/>
      </c>
    </row>
    <row r="5" ht="18" customHeight="1">
      <c r="A5" s="5" t="inlineStr">
        <is>
          <t>Gastos Personales</t>
        </is>
      </c>
      <c r="B5" s="6">
        <f>Gastos_Personales!B10</f>
        <v/>
      </c>
      <c r="C5" s="6">
        <f>Gastos_Personales!C10</f>
        <v/>
      </c>
      <c r="D5" s="6">
        <f>Gastos_Personales!D10</f>
        <v/>
      </c>
      <c r="E5" s="6">
        <f>Gastos_Personales!E10</f>
        <v/>
      </c>
      <c r="F5" s="6">
        <f>Gastos_Personales!F10</f>
        <v/>
      </c>
      <c r="G5" s="6">
        <f>Gastos_Personales!G10</f>
        <v/>
      </c>
      <c r="H5" s="6">
        <f>Gastos_Personales!H10</f>
        <v/>
      </c>
      <c r="I5" s="6">
        <f>Gastos_Personales!I10</f>
        <v/>
      </c>
      <c r="J5" s="6">
        <f>Gastos_Personales!J10</f>
        <v/>
      </c>
      <c r="K5" s="6">
        <f>Gastos_Personales!K10</f>
        <v/>
      </c>
      <c r="L5" s="6">
        <f>Gastos_Personales!L10</f>
        <v/>
      </c>
      <c r="M5" s="6">
        <f>Gastos_Personales!M10</f>
        <v/>
      </c>
      <c r="N5" s="6">
        <f>Gastos_Personales!N10</f>
        <v/>
      </c>
      <c r="O5" s="6">
        <f>Gastos_Personales!O10</f>
        <v/>
      </c>
      <c r="P5" s="6">
        <f>Gastos_Personales!P10</f>
        <v/>
      </c>
      <c r="Q5" s="6">
        <f>Gastos_Personales!Q10</f>
        <v/>
      </c>
      <c r="R5" s="6">
        <f>Gastos_Personales!R10</f>
        <v/>
      </c>
      <c r="S5" s="6">
        <f>Gastos_Personales!S10</f>
        <v/>
      </c>
      <c r="T5" s="6">
        <f>Gastos_Personales!T10</f>
        <v/>
      </c>
      <c r="U5" s="6">
        <f>Gastos_Personales!U10</f>
        <v/>
      </c>
      <c r="V5" s="6">
        <f>Gastos_Personales!V10</f>
        <v/>
      </c>
      <c r="W5" s="6">
        <f>Gastos_Personales!W10</f>
        <v/>
      </c>
      <c r="X5" s="6">
        <f>Gastos_Personales!X10</f>
        <v/>
      </c>
      <c r="Y5" s="6">
        <f>Gastos_Personales!Y10</f>
        <v/>
      </c>
      <c r="Z5" s="6">
        <f>Gastos_Personales!Z10</f>
        <v/>
      </c>
      <c r="AA5" s="6">
        <f>Gastos_Personales!AA10</f>
        <v/>
      </c>
      <c r="AB5" s="6">
        <f>Gastos_Personales!AB10</f>
        <v/>
      </c>
      <c r="AC5" s="6">
        <f>Gastos_Personales!AC10</f>
        <v/>
      </c>
      <c r="AD5" s="6">
        <f>Gastos_Personales!AD10</f>
        <v/>
      </c>
      <c r="AE5" s="6">
        <f>Gastos_Personales!AE10</f>
        <v/>
      </c>
      <c r="AF5" s="6">
        <f>Gastos_Personales!AF10</f>
        <v/>
      </c>
      <c r="AG5" s="6">
        <f>Gastos_Personales!AG10</f>
        <v/>
      </c>
      <c r="AH5" s="6">
        <f>Gastos_Personales!AH10</f>
        <v/>
      </c>
      <c r="AI5" s="6">
        <f>Gastos_Personales!AI10</f>
        <v/>
      </c>
      <c r="AJ5" s="6">
        <f>Gastos_Personales!AJ10</f>
        <v/>
      </c>
      <c r="AK5" s="6">
        <f>Gastos_Personales!AK10</f>
        <v/>
      </c>
      <c r="AL5" s="6">
        <f>Gastos_Personales!AL10</f>
        <v/>
      </c>
      <c r="AM5" s="6">
        <f>Gastos_Personales!AM10</f>
        <v/>
      </c>
      <c r="AN5" s="6">
        <f>Gastos_Personales!AN10</f>
        <v/>
      </c>
      <c r="AO5" s="6">
        <f>Gastos_Personales!AO10</f>
        <v/>
      </c>
      <c r="AP5" s="6">
        <f>Gastos_Personales!AP10</f>
        <v/>
      </c>
      <c r="AQ5" s="6">
        <f>Gastos_Personales!AQ10</f>
        <v/>
      </c>
      <c r="AR5" s="6">
        <f>Gastos_Personales!AR10</f>
        <v/>
      </c>
      <c r="AS5" s="6">
        <f>Gastos_Personales!AS10</f>
        <v/>
      </c>
    </row>
    <row r="6" ht="18" customHeight="1">
      <c r="A6" s="7" t="inlineStr">
        <is>
          <t>Hogar</t>
        </is>
      </c>
      <c r="B6" s="8">
        <f>Hogar!B11</f>
        <v/>
      </c>
      <c r="C6" s="8">
        <f>Hogar!C11</f>
        <v/>
      </c>
      <c r="D6" s="8">
        <f>Hogar!D11</f>
        <v/>
      </c>
      <c r="E6" s="8">
        <f>Hogar!E11</f>
        <v/>
      </c>
      <c r="F6" s="8">
        <f>Hogar!F11</f>
        <v/>
      </c>
      <c r="G6" s="8">
        <f>Hogar!G11</f>
        <v/>
      </c>
      <c r="H6" s="8">
        <f>Hogar!H11</f>
        <v/>
      </c>
      <c r="I6" s="8">
        <f>Hogar!I11</f>
        <v/>
      </c>
      <c r="J6" s="8">
        <f>Hogar!J11</f>
        <v/>
      </c>
      <c r="K6" s="8">
        <f>Hogar!K11</f>
        <v/>
      </c>
      <c r="L6" s="8">
        <f>Hogar!L11</f>
        <v/>
      </c>
      <c r="M6" s="8">
        <f>Hogar!M11</f>
        <v/>
      </c>
      <c r="N6" s="8">
        <f>Hogar!N11</f>
        <v/>
      </c>
      <c r="O6" s="8">
        <f>Hogar!O11</f>
        <v/>
      </c>
      <c r="P6" s="8">
        <f>Hogar!P11</f>
        <v/>
      </c>
      <c r="Q6" s="8">
        <f>Hogar!Q11</f>
        <v/>
      </c>
      <c r="R6" s="8">
        <f>Hogar!R11</f>
        <v/>
      </c>
      <c r="S6" s="8">
        <f>Hogar!S11</f>
        <v/>
      </c>
      <c r="T6" s="8">
        <f>Hogar!T11</f>
        <v/>
      </c>
      <c r="U6" s="8">
        <f>Hogar!U11</f>
        <v/>
      </c>
      <c r="V6" s="8">
        <f>Hogar!V11</f>
        <v/>
      </c>
      <c r="W6" s="8">
        <f>Hogar!W11</f>
        <v/>
      </c>
      <c r="X6" s="8">
        <f>Hogar!X11</f>
        <v/>
      </c>
      <c r="Y6" s="8">
        <f>Hogar!Y11</f>
        <v/>
      </c>
      <c r="Z6" s="8">
        <f>Hogar!Z11</f>
        <v/>
      </c>
      <c r="AA6" s="8">
        <f>Hogar!AA11</f>
        <v/>
      </c>
      <c r="AB6" s="8">
        <f>Hogar!AB11</f>
        <v/>
      </c>
      <c r="AC6" s="8">
        <f>Hogar!AC11</f>
        <v/>
      </c>
      <c r="AD6" s="8">
        <f>Hogar!AD11</f>
        <v/>
      </c>
      <c r="AE6" s="8">
        <f>Hogar!AE11</f>
        <v/>
      </c>
      <c r="AF6" s="8">
        <f>Hogar!AF11</f>
        <v/>
      </c>
      <c r="AG6" s="8">
        <f>Hogar!AG11</f>
        <v/>
      </c>
      <c r="AH6" s="8">
        <f>Hogar!AH11</f>
        <v/>
      </c>
      <c r="AI6" s="8">
        <f>Hogar!AI11</f>
        <v/>
      </c>
      <c r="AJ6" s="8">
        <f>Hogar!AJ11</f>
        <v/>
      </c>
      <c r="AK6" s="8">
        <f>Hogar!AK11</f>
        <v/>
      </c>
      <c r="AL6" s="8">
        <f>Hogar!AL11</f>
        <v/>
      </c>
      <c r="AM6" s="8">
        <f>Hogar!AM11</f>
        <v/>
      </c>
      <c r="AN6" s="8">
        <f>Hogar!AN11</f>
        <v/>
      </c>
      <c r="AO6" s="8">
        <f>Hogar!AO11</f>
        <v/>
      </c>
      <c r="AP6" s="8">
        <f>Hogar!AP11</f>
        <v/>
      </c>
      <c r="AQ6" s="8">
        <f>Hogar!AQ11</f>
        <v/>
      </c>
      <c r="AR6" s="8">
        <f>Hogar!AR11</f>
        <v/>
      </c>
      <c r="AS6" s="8">
        <f>Hogar!AS11</f>
        <v/>
      </c>
    </row>
    <row r="7" ht="18" customHeight="1">
      <c r="A7" s="9" t="inlineStr">
        <is>
          <t>Deudas &amp; Varios</t>
        </is>
      </c>
      <c r="B7" s="10">
        <f>Deudas_Varios!B13</f>
        <v/>
      </c>
      <c r="C7" s="10">
        <f>Deudas_Varios!C13</f>
        <v/>
      </c>
      <c r="D7" s="10">
        <f>Deudas_Varios!D13</f>
        <v/>
      </c>
      <c r="E7" s="10">
        <f>Deudas_Varios!E13</f>
        <v/>
      </c>
      <c r="F7" s="10">
        <f>Deudas_Varios!F13</f>
        <v/>
      </c>
      <c r="G7" s="10">
        <f>Deudas_Varios!G13</f>
        <v/>
      </c>
      <c r="H7" s="10">
        <f>Deudas_Varios!H13</f>
        <v/>
      </c>
      <c r="I7" s="10">
        <f>Deudas_Varios!I13</f>
        <v/>
      </c>
      <c r="J7" s="10">
        <f>Deudas_Varios!J13</f>
        <v/>
      </c>
      <c r="K7" s="10">
        <f>Deudas_Varios!K13</f>
        <v/>
      </c>
      <c r="L7" s="10">
        <f>Deudas_Varios!L13</f>
        <v/>
      </c>
      <c r="M7" s="10">
        <f>Deudas_Varios!M13</f>
        <v/>
      </c>
      <c r="N7" s="10">
        <f>Deudas_Varios!N13</f>
        <v/>
      </c>
      <c r="O7" s="10">
        <f>Deudas_Varios!O13</f>
        <v/>
      </c>
      <c r="P7" s="10">
        <f>Deudas_Varios!P13</f>
        <v/>
      </c>
      <c r="Q7" s="10">
        <f>Deudas_Varios!Q13</f>
        <v/>
      </c>
      <c r="R7" s="10">
        <f>Deudas_Varios!R13</f>
        <v/>
      </c>
      <c r="S7" s="10">
        <f>Deudas_Varios!S13</f>
        <v/>
      </c>
      <c r="T7" s="10">
        <f>Deudas_Varios!T13</f>
        <v/>
      </c>
      <c r="U7" s="10">
        <f>Deudas_Varios!U13</f>
        <v/>
      </c>
      <c r="V7" s="10">
        <f>Deudas_Varios!V13</f>
        <v/>
      </c>
      <c r="W7" s="10">
        <f>Deudas_Varios!W13</f>
        <v/>
      </c>
      <c r="X7" s="10">
        <f>Deudas_Varios!X13</f>
        <v/>
      </c>
      <c r="Y7" s="10">
        <f>Deudas_Varios!Y13</f>
        <v/>
      </c>
      <c r="Z7" s="10">
        <f>Deudas_Varios!Z13</f>
        <v/>
      </c>
      <c r="AA7" s="10">
        <f>Deudas_Varios!AA13</f>
        <v/>
      </c>
      <c r="AB7" s="10">
        <f>Deudas_Varios!AB13</f>
        <v/>
      </c>
      <c r="AC7" s="10">
        <f>Deudas_Varios!AC13</f>
        <v/>
      </c>
      <c r="AD7" s="10">
        <f>Deudas_Varios!AD13</f>
        <v/>
      </c>
      <c r="AE7" s="10">
        <f>Deudas_Varios!AE13</f>
        <v/>
      </c>
      <c r="AF7" s="10">
        <f>Deudas_Varios!AF13</f>
        <v/>
      </c>
      <c r="AG7" s="10">
        <f>Deudas_Varios!AG13</f>
        <v/>
      </c>
      <c r="AH7" s="10">
        <f>Deudas_Varios!AH13</f>
        <v/>
      </c>
      <c r="AI7" s="10">
        <f>Deudas_Varios!AI13</f>
        <v/>
      </c>
      <c r="AJ7" s="10">
        <f>Deudas_Varios!AJ13</f>
        <v/>
      </c>
      <c r="AK7" s="10">
        <f>Deudas_Varios!AK13</f>
        <v/>
      </c>
      <c r="AL7" s="10">
        <f>Deudas_Varios!AL13</f>
        <v/>
      </c>
      <c r="AM7" s="10">
        <f>Deudas_Varios!AM13</f>
        <v/>
      </c>
      <c r="AN7" s="10">
        <f>Deudas_Varios!AN13</f>
        <v/>
      </c>
      <c r="AO7" s="10">
        <f>Deudas_Varios!AO13</f>
        <v/>
      </c>
      <c r="AP7" s="10">
        <f>Deudas_Varios!AP13</f>
        <v/>
      </c>
      <c r="AQ7" s="10">
        <f>Deudas_Varios!AQ13</f>
        <v/>
      </c>
      <c r="AR7" s="10">
        <f>Deudas_Varios!AR13</f>
        <v/>
      </c>
      <c r="AS7" s="10">
        <f>Deudas_Varios!AS13</f>
        <v/>
      </c>
    </row>
    <row r="8">
      <c r="A8" s="11" t="inlineStr">
        <is>
          <t>TOTAL GASTOS</t>
        </is>
      </c>
      <c r="B8" s="12">
        <f>SUM(B4:B7)</f>
        <v/>
      </c>
      <c r="C8" s="12">
        <f>SUM(C4:C7)</f>
        <v/>
      </c>
      <c r="D8" s="12">
        <f>SUM(D4:D7)</f>
        <v/>
      </c>
      <c r="E8" s="12">
        <f>SUM(E4:E7)</f>
        <v/>
      </c>
      <c r="F8" s="12">
        <f>SUM(F4:F7)</f>
        <v/>
      </c>
      <c r="G8" s="12">
        <f>SUM(G4:G7)</f>
        <v/>
      </c>
      <c r="H8" s="12">
        <f>SUM(H4:H7)</f>
        <v/>
      </c>
      <c r="I8" s="12">
        <f>SUM(I4:I7)</f>
        <v/>
      </c>
      <c r="J8" s="12">
        <f>SUM(J4:J7)</f>
        <v/>
      </c>
      <c r="K8" s="12">
        <f>SUM(K4:K7)</f>
        <v/>
      </c>
      <c r="L8" s="12">
        <f>SUM(L4:L7)</f>
        <v/>
      </c>
      <c r="M8" s="12">
        <f>SUM(M4:M7)</f>
        <v/>
      </c>
      <c r="N8" s="12">
        <f>SUM(N4:N7)</f>
        <v/>
      </c>
      <c r="O8" s="12">
        <f>SUM(O4:O7)</f>
        <v/>
      </c>
      <c r="P8" s="12">
        <f>SUM(P4:P7)</f>
        <v/>
      </c>
      <c r="Q8" s="12">
        <f>SUM(Q4:Q7)</f>
        <v/>
      </c>
      <c r="R8" s="12">
        <f>SUM(R4:R7)</f>
        <v/>
      </c>
      <c r="S8" s="12">
        <f>SUM(S4:S7)</f>
        <v/>
      </c>
      <c r="T8" s="12">
        <f>SUM(T4:T7)</f>
        <v/>
      </c>
      <c r="U8" s="12">
        <f>SUM(U4:U7)</f>
        <v/>
      </c>
      <c r="V8" s="12">
        <f>SUM(V4:V7)</f>
        <v/>
      </c>
      <c r="W8" s="12">
        <f>SUM(W4:W7)</f>
        <v/>
      </c>
      <c r="X8" s="12">
        <f>SUM(X4:X7)</f>
        <v/>
      </c>
      <c r="Y8" s="12">
        <f>SUM(Y4:Y7)</f>
        <v/>
      </c>
      <c r="Z8" s="12">
        <f>SUM(Z4:Z7)</f>
        <v/>
      </c>
      <c r="AA8" s="12">
        <f>SUM(AA4:AA7)</f>
        <v/>
      </c>
      <c r="AB8" s="12">
        <f>SUM(AB4:AB7)</f>
        <v/>
      </c>
      <c r="AC8" s="12">
        <f>SUM(AC4:AC7)</f>
        <v/>
      </c>
      <c r="AD8" s="12">
        <f>SUM(AD4:AD7)</f>
        <v/>
      </c>
      <c r="AE8" s="12">
        <f>SUM(AE4:AE7)</f>
        <v/>
      </c>
      <c r="AF8" s="12">
        <f>SUM(AF4:AF7)</f>
        <v/>
      </c>
      <c r="AG8" s="12">
        <f>SUM(AG4:AG7)</f>
        <v/>
      </c>
      <c r="AH8" s="12">
        <f>SUM(AH4:AH7)</f>
        <v/>
      </c>
      <c r="AI8" s="12">
        <f>SUM(AI4:AI7)</f>
        <v/>
      </c>
      <c r="AJ8" s="12">
        <f>SUM(AJ4:AJ7)</f>
        <v/>
      </c>
      <c r="AK8" s="12">
        <f>SUM(AK4:AK7)</f>
        <v/>
      </c>
      <c r="AL8" s="12">
        <f>SUM(AL4:AL7)</f>
        <v/>
      </c>
      <c r="AM8" s="12">
        <f>SUM(AM4:AM7)</f>
        <v/>
      </c>
      <c r="AN8" s="12">
        <f>SUM(AN4:AN7)</f>
        <v/>
      </c>
      <c r="AO8" s="12">
        <f>SUM(AO4:AO7)</f>
        <v/>
      </c>
      <c r="AP8" s="12">
        <f>SUM(AP4:AP7)</f>
        <v/>
      </c>
      <c r="AQ8" s="12">
        <f>SUM(AQ4:AQ7)</f>
        <v/>
      </c>
      <c r="AR8" s="12">
        <f>SUM(AR4:AR7)</f>
        <v/>
      </c>
      <c r="AS8" s="12">
        <f>SUM(AS4:AS7)</f>
        <v/>
      </c>
    </row>
    <row r="9" ht="19.5" customHeight="1">
      <c r="A9" s="32" t="inlineStr">
        <is>
          <t>💰 INGRESOS</t>
        </is>
      </c>
    </row>
    <row r="10" ht="18" customHeight="1">
      <c r="A10" s="13" t="inlineStr">
        <is>
          <t>Ingreso Franco</t>
        </is>
      </c>
      <c r="B10" s="6" t="n">
        <v>1100000</v>
      </c>
      <c r="C10" s="6" t="n">
        <v>1100000</v>
      </c>
      <c r="D10" s="6" t="n">
        <v>1100000</v>
      </c>
      <c r="E10" s="6" t="n">
        <v>1200000</v>
      </c>
      <c r="F10" s="6" t="n">
        <v>1200000</v>
      </c>
      <c r="G10" s="6" t="n">
        <v>1200000</v>
      </c>
      <c r="H10" s="6" t="n">
        <v>1160000</v>
      </c>
      <c r="I10" s="6" t="n">
        <v>1170000</v>
      </c>
      <c r="J10" s="6" t="n">
        <v>1250000</v>
      </c>
      <c r="K10" s="6" t="n">
        <v>1200000</v>
      </c>
      <c r="L10" s="6" t="n">
        <v>1250000</v>
      </c>
      <c r="M10" s="6" t="n">
        <v>1432000</v>
      </c>
      <c r="N10" s="6" t="n">
        <v>1350000</v>
      </c>
      <c r="O10" s="6" t="n">
        <v>1450000</v>
      </c>
      <c r="P10" s="6" t="n">
        <v>1400000</v>
      </c>
      <c r="Q10" s="6" t="n">
        <v>1620000</v>
      </c>
      <c r="R10" s="6" t="n">
        <v>1400000</v>
      </c>
      <c r="S10" s="6" t="n">
        <v>1430000</v>
      </c>
      <c r="T10" s="6" t="n">
        <v>1430000</v>
      </c>
      <c r="U10" s="6" t="n">
        <v>1430000</v>
      </c>
      <c r="V10" s="6" t="n">
        <v>1430000</v>
      </c>
      <c r="W10" s="6" t="n">
        <v>1430000</v>
      </c>
      <c r="X10" s="6" t="n">
        <v>1430000</v>
      </c>
      <c r="Y10" s="6" t="n">
        <v>0</v>
      </c>
      <c r="Z10" s="6" t="n">
        <v>0</v>
      </c>
      <c r="AA10" s="6" t="n">
        <v>0</v>
      </c>
      <c r="AB10" s="6" t="n">
        <v>0</v>
      </c>
      <c r="AC10" s="6" t="n">
        <v>0</v>
      </c>
      <c r="AD10" s="6" t="n">
        <v>0</v>
      </c>
      <c r="AE10" s="6" t="n">
        <v>0</v>
      </c>
      <c r="AF10" s="6" t="n">
        <v>0</v>
      </c>
      <c r="AG10" s="6" t="n">
        <v>0</v>
      </c>
      <c r="AH10" s="6" t="n">
        <v>0</v>
      </c>
      <c r="AI10" s="6" t="n">
        <v>0</v>
      </c>
      <c r="AJ10" s="6" t="n">
        <v>0</v>
      </c>
      <c r="AK10" s="6" t="n">
        <v>0</v>
      </c>
      <c r="AL10" s="6" t="n">
        <v>0</v>
      </c>
      <c r="AM10" s="6" t="n">
        <v>0</v>
      </c>
      <c r="AN10" s="6" t="n">
        <v>0</v>
      </c>
      <c r="AO10" s="6" t="n">
        <v>0</v>
      </c>
      <c r="AP10" s="6" t="n">
        <v>0</v>
      </c>
      <c r="AQ10" s="6" t="n">
        <v>0</v>
      </c>
      <c r="AR10" s="6" t="n">
        <v>0</v>
      </c>
      <c r="AS10" s="6" t="n">
        <v>0</v>
      </c>
    </row>
    <row r="11" ht="18" customHeight="1">
      <c r="A11" s="13" t="inlineStr">
        <is>
          <t>Ingreso Abi</t>
        </is>
      </c>
      <c r="B11" s="6" t="n">
        <v>0</v>
      </c>
      <c r="C11" s="6" t="n">
        <v>0</v>
      </c>
      <c r="D11" s="6" t="n">
        <v>0</v>
      </c>
      <c r="E11" s="6" t="n">
        <v>30000</v>
      </c>
      <c r="F11" s="6" t="n">
        <v>30000</v>
      </c>
      <c r="G11" s="6" t="n">
        <v>0</v>
      </c>
      <c r="H11" s="6" t="n">
        <v>50000</v>
      </c>
      <c r="I11" s="6" t="n">
        <v>100000</v>
      </c>
      <c r="J11" s="6" t="n">
        <v>0</v>
      </c>
      <c r="K11" s="6" t="n">
        <v>0</v>
      </c>
      <c r="L11" s="6" t="n">
        <v>320000</v>
      </c>
      <c r="M11" s="6" t="n">
        <v>960000</v>
      </c>
      <c r="N11" s="6" t="n">
        <v>1400000</v>
      </c>
      <c r="O11" s="6" t="n">
        <v>0</v>
      </c>
      <c r="P11" s="6" t="n">
        <v>0</v>
      </c>
      <c r="Q11" s="6" t="n">
        <v>900000</v>
      </c>
      <c r="R11" s="6" t="n">
        <v>900000</v>
      </c>
      <c r="S11" s="6" t="n">
        <v>900000</v>
      </c>
      <c r="T11" s="6" t="n">
        <v>900000</v>
      </c>
      <c r="U11" s="6" t="n">
        <v>900000</v>
      </c>
      <c r="V11" s="6" t="n">
        <v>900000</v>
      </c>
      <c r="W11" s="6" t="n">
        <v>900000</v>
      </c>
      <c r="X11" s="6" t="n">
        <v>900000</v>
      </c>
      <c r="Y11" s="6" t="n">
        <v>0</v>
      </c>
      <c r="Z11" s="6" t="n">
        <v>0</v>
      </c>
      <c r="AA11" s="6" t="n">
        <v>0</v>
      </c>
      <c r="AB11" s="6" t="n">
        <v>0</v>
      </c>
      <c r="AC11" s="6" t="n">
        <v>0</v>
      </c>
      <c r="AD11" s="6" t="n">
        <v>0</v>
      </c>
      <c r="AE11" s="6" t="n">
        <v>0</v>
      </c>
      <c r="AF11" s="6" t="n">
        <v>0</v>
      </c>
      <c r="AG11" s="6" t="n">
        <v>0</v>
      </c>
      <c r="AH11" s="6" t="n">
        <v>0</v>
      </c>
      <c r="AI11" s="6" t="n">
        <v>0</v>
      </c>
      <c r="AJ11" s="6" t="n">
        <v>0</v>
      </c>
      <c r="AK11" s="6" t="n">
        <v>0</v>
      </c>
      <c r="AL11" s="6" t="n">
        <v>0</v>
      </c>
      <c r="AM11" s="6" t="n">
        <v>0</v>
      </c>
      <c r="AN11" s="6" t="n">
        <v>0</v>
      </c>
      <c r="AO11" s="6" t="n">
        <v>0</v>
      </c>
      <c r="AP11" s="6" t="n">
        <v>0</v>
      </c>
      <c r="AQ11" s="6" t="n">
        <v>0</v>
      </c>
      <c r="AR11" s="6" t="n">
        <v>0</v>
      </c>
      <c r="AS11" s="6" t="n">
        <v>0</v>
      </c>
    </row>
    <row r="12" ht="18" customHeight="1">
      <c r="A12" s="13" t="inlineStr">
        <is>
          <t>Pago de negocio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6000000</v>
      </c>
      <c r="I12" s="6" t="n">
        <v>0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  <c r="Y12" s="6" t="n">
        <v>0</v>
      </c>
      <c r="Z12" s="6" t="n">
        <v>0</v>
      </c>
      <c r="AA12" s="6" t="n">
        <v>0</v>
      </c>
      <c r="AB12" s="6" t="n">
        <v>0</v>
      </c>
      <c r="AC12" s="6" t="n">
        <v>0</v>
      </c>
      <c r="AD12" s="6" t="n">
        <v>0</v>
      </c>
      <c r="AE12" s="6" t="n">
        <v>0</v>
      </c>
      <c r="AF12" s="6" t="n">
        <v>0</v>
      </c>
      <c r="AG12" s="6" t="n">
        <v>0</v>
      </c>
      <c r="AH12" s="6" t="n">
        <v>0</v>
      </c>
      <c r="AI12" s="6" t="n">
        <v>0</v>
      </c>
      <c r="AJ12" s="6" t="n">
        <v>0</v>
      </c>
      <c r="AK12" s="6" t="n">
        <v>0</v>
      </c>
      <c r="AL12" s="6" t="n">
        <v>0</v>
      </c>
      <c r="AM12" s="6" t="n">
        <v>0</v>
      </c>
      <c r="AN12" s="6" t="n">
        <v>0</v>
      </c>
      <c r="AO12" s="6" t="n">
        <v>0</v>
      </c>
      <c r="AP12" s="6" t="n">
        <v>0</v>
      </c>
      <c r="AQ12" s="6" t="n">
        <v>0</v>
      </c>
      <c r="AR12" s="6" t="n">
        <v>0</v>
      </c>
      <c r="AS12" s="6" t="n">
        <v>0</v>
      </c>
    </row>
    <row r="13" ht="18" customHeight="1">
      <c r="A13" s="13" t="inlineStr">
        <is>
          <t>Ingreso por rendimientos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6" t="n">
        <v>0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</v>
      </c>
      <c r="W13" s="6" t="n">
        <v>0</v>
      </c>
      <c r="X13" s="6" t="n">
        <v>0</v>
      </c>
      <c r="Y13" s="6" t="n">
        <v>0</v>
      </c>
      <c r="Z13" s="6" t="n">
        <v>0</v>
      </c>
      <c r="AA13" s="6" t="n">
        <v>0</v>
      </c>
      <c r="AB13" s="6" t="n">
        <v>0</v>
      </c>
      <c r="AC13" s="6" t="n">
        <v>0</v>
      </c>
      <c r="AD13" s="6" t="n">
        <v>0</v>
      </c>
      <c r="AE13" s="6" t="n">
        <v>0</v>
      </c>
      <c r="AF13" s="6" t="n">
        <v>0</v>
      </c>
      <c r="AG13" s="6" t="n">
        <v>0</v>
      </c>
      <c r="AH13" s="6" t="n">
        <v>0</v>
      </c>
      <c r="AI13" s="6" t="n">
        <v>0</v>
      </c>
      <c r="AJ13" s="6" t="n">
        <v>0</v>
      </c>
      <c r="AK13" s="6" t="n">
        <v>0</v>
      </c>
      <c r="AL13" s="6" t="n">
        <v>0</v>
      </c>
      <c r="AM13" s="6" t="n">
        <v>0</v>
      </c>
      <c r="AN13" s="6" t="n">
        <v>0</v>
      </c>
      <c r="AO13" s="6" t="n">
        <v>0</v>
      </c>
      <c r="AP13" s="6" t="n">
        <v>0</v>
      </c>
      <c r="AQ13" s="6" t="n">
        <v>0</v>
      </c>
      <c r="AR13" s="6" t="n">
        <v>0</v>
      </c>
      <c r="AS13" s="6" t="n">
        <v>0</v>
      </c>
    </row>
    <row r="14" ht="18" customHeight="1">
      <c r="A14" s="13" t="inlineStr">
        <is>
          <t>Nos deben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6" t="n">
        <v>30000</v>
      </c>
      <c r="G14" s="6" t="n">
        <v>15000</v>
      </c>
      <c r="H14" s="6" t="n">
        <v>15000</v>
      </c>
      <c r="I14" s="6" t="n">
        <v>15000</v>
      </c>
      <c r="J14" s="6" t="n">
        <v>15000</v>
      </c>
      <c r="K14" s="6" t="n">
        <v>15000</v>
      </c>
      <c r="L14" s="6" t="n">
        <v>0</v>
      </c>
      <c r="M14" s="6" t="n">
        <v>0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  <c r="Y14" s="6" t="n">
        <v>0</v>
      </c>
      <c r="Z14" s="6" t="n">
        <v>0</v>
      </c>
      <c r="AA14" s="6" t="n">
        <v>0</v>
      </c>
      <c r="AB14" s="6" t="n">
        <v>0</v>
      </c>
      <c r="AC14" s="6" t="n">
        <v>0</v>
      </c>
      <c r="AD14" s="6" t="n">
        <v>0</v>
      </c>
      <c r="AE14" s="6" t="n">
        <v>0</v>
      </c>
      <c r="AF14" s="6" t="n">
        <v>0</v>
      </c>
      <c r="AG14" s="6" t="n">
        <v>0</v>
      </c>
      <c r="AH14" s="6" t="n">
        <v>0</v>
      </c>
      <c r="AI14" s="6" t="n">
        <v>0</v>
      </c>
      <c r="AJ14" s="6" t="n">
        <v>0</v>
      </c>
      <c r="AK14" s="6" t="n">
        <v>0</v>
      </c>
      <c r="AL14" s="6" t="n">
        <v>0</v>
      </c>
      <c r="AM14" s="6" t="n">
        <v>0</v>
      </c>
      <c r="AN14" s="6" t="n">
        <v>0</v>
      </c>
      <c r="AO14" s="6" t="n">
        <v>0</v>
      </c>
      <c r="AP14" s="6" t="n">
        <v>0</v>
      </c>
      <c r="AQ14" s="6" t="n">
        <v>0</v>
      </c>
      <c r="AR14" s="6" t="n">
        <v>0</v>
      </c>
      <c r="AS14" s="6" t="n">
        <v>0</v>
      </c>
    </row>
    <row r="15">
      <c r="A15" s="14" t="inlineStr">
        <is>
          <t>TOTAL INGRESOS</t>
        </is>
      </c>
      <c r="B15" s="15">
        <f>SUM(B10:B14)</f>
        <v/>
      </c>
      <c r="C15" s="15">
        <f>SUM(C10:C14)</f>
        <v/>
      </c>
      <c r="D15" s="15">
        <f>SUM(D10:D14)</f>
        <v/>
      </c>
      <c r="E15" s="15">
        <f>SUM(E10:E14)</f>
        <v/>
      </c>
      <c r="F15" s="15">
        <f>SUM(F10:F14)</f>
        <v/>
      </c>
      <c r="G15" s="15">
        <f>SUM(G10:G14)</f>
        <v/>
      </c>
      <c r="H15" s="15">
        <f>SUM(H10:H14)</f>
        <v/>
      </c>
      <c r="I15" s="15">
        <f>SUM(I10:I14)</f>
        <v/>
      </c>
      <c r="J15" s="15">
        <f>SUM(J10:J14)</f>
        <v/>
      </c>
      <c r="K15" s="15">
        <f>SUM(K10:K14)</f>
        <v/>
      </c>
      <c r="L15" s="15">
        <f>SUM(L10:L14)</f>
        <v/>
      </c>
      <c r="M15" s="15">
        <f>SUM(M10:M14)</f>
        <v/>
      </c>
      <c r="N15" s="15">
        <f>SUM(N10:N14)</f>
        <v/>
      </c>
      <c r="O15" s="15">
        <f>SUM(O10:O14)</f>
        <v/>
      </c>
      <c r="P15" s="15">
        <f>SUM(P10:P14)</f>
        <v/>
      </c>
      <c r="Q15" s="15">
        <f>SUM(Q10:Q14)</f>
        <v/>
      </c>
      <c r="R15" s="15">
        <f>SUM(R10:R14)</f>
        <v/>
      </c>
      <c r="S15" s="15">
        <f>SUM(S10:S14)</f>
        <v/>
      </c>
      <c r="T15" s="15">
        <f>SUM(T10:T14)</f>
        <v/>
      </c>
      <c r="U15" s="15">
        <f>SUM(U10:U14)</f>
        <v/>
      </c>
      <c r="V15" s="15">
        <f>SUM(V10:V14)</f>
        <v/>
      </c>
      <c r="W15" s="15">
        <f>SUM(W10:W14)</f>
        <v/>
      </c>
      <c r="X15" s="15">
        <f>SUM(X10:X14)</f>
        <v/>
      </c>
      <c r="Y15" s="15">
        <f>SUM(Y10:Y14)</f>
        <v/>
      </c>
      <c r="Z15" s="15">
        <f>SUM(Z10:Z14)</f>
        <v/>
      </c>
      <c r="AA15" s="15">
        <f>SUM(AA10:AA14)</f>
        <v/>
      </c>
      <c r="AB15" s="15">
        <f>SUM(AB10:AB14)</f>
        <v/>
      </c>
      <c r="AC15" s="15">
        <f>SUM(AC10:AC14)</f>
        <v/>
      </c>
      <c r="AD15" s="15">
        <f>SUM(AD10:AD14)</f>
        <v/>
      </c>
      <c r="AE15" s="15">
        <f>SUM(AE10:AE14)</f>
        <v/>
      </c>
      <c r="AF15" s="15">
        <f>SUM(AF10:AF14)</f>
        <v/>
      </c>
      <c r="AG15" s="15">
        <f>SUM(AG10:AG14)</f>
        <v/>
      </c>
      <c r="AH15" s="15">
        <f>SUM(AH10:AH14)</f>
        <v/>
      </c>
      <c r="AI15" s="15">
        <f>SUM(AI10:AI14)</f>
        <v/>
      </c>
      <c r="AJ15" s="15">
        <f>SUM(AJ10:AJ14)</f>
        <v/>
      </c>
      <c r="AK15" s="15">
        <f>SUM(AK10:AK14)</f>
        <v/>
      </c>
      <c r="AL15" s="15">
        <f>SUM(AL10:AL14)</f>
        <v/>
      </c>
      <c r="AM15" s="15">
        <f>SUM(AM10:AM14)</f>
        <v/>
      </c>
      <c r="AN15" s="15">
        <f>SUM(AN10:AN14)</f>
        <v/>
      </c>
      <c r="AO15" s="15">
        <f>SUM(AO10:AO14)</f>
        <v/>
      </c>
      <c r="AP15" s="15">
        <f>SUM(AP10:AP14)</f>
        <v/>
      </c>
      <c r="AQ15" s="15">
        <f>SUM(AQ10:AQ14)</f>
        <v/>
      </c>
      <c r="AR15" s="15">
        <f>SUM(AR10:AR14)</f>
        <v/>
      </c>
      <c r="AS15" s="15">
        <f>SUM(AS10:AS14)</f>
        <v/>
      </c>
    </row>
    <row r="16" ht="21.75" customHeight="1">
      <c r="A16" s="16" t="inlineStr">
        <is>
          <t>¿LLEGAMOS A PAGAR?</t>
        </is>
      </c>
      <c r="B16" s="17">
        <f>B15+B8</f>
        <v/>
      </c>
      <c r="C16" s="17">
        <f>C15+C8</f>
        <v/>
      </c>
      <c r="D16" s="17">
        <f>D15+D8</f>
        <v/>
      </c>
      <c r="E16" s="17">
        <f>E15+E8</f>
        <v/>
      </c>
      <c r="F16" s="17">
        <f>F15+F8</f>
        <v/>
      </c>
      <c r="G16" s="17">
        <f>G15+G8</f>
        <v/>
      </c>
      <c r="H16" s="17">
        <f>H15+H8</f>
        <v/>
      </c>
      <c r="I16" s="17">
        <f>I15+I8</f>
        <v/>
      </c>
      <c r="J16" s="17">
        <f>J15+J8</f>
        <v/>
      </c>
      <c r="K16" s="17">
        <f>K15+K8</f>
        <v/>
      </c>
      <c r="L16" s="17">
        <f>L15+L8</f>
        <v/>
      </c>
      <c r="M16" s="18">
        <f>M15+M8</f>
        <v/>
      </c>
      <c r="N16" s="18">
        <f>N15+N8</f>
        <v/>
      </c>
      <c r="O16" s="17">
        <f>O15+O8</f>
        <v/>
      </c>
      <c r="P16" s="17">
        <f>P15+P8</f>
        <v/>
      </c>
      <c r="Q16" s="18">
        <f>Q15+Q8</f>
        <v/>
      </c>
      <c r="R16" s="18">
        <f>R15+R8</f>
        <v/>
      </c>
      <c r="S16" s="18">
        <f>S15+S8</f>
        <v/>
      </c>
      <c r="T16" s="18">
        <f>T15+T8</f>
        <v/>
      </c>
      <c r="U16" s="18">
        <f>U15+U8</f>
        <v/>
      </c>
      <c r="V16" s="18">
        <f>V15+V8</f>
        <v/>
      </c>
      <c r="W16" s="18">
        <f>W15+W8</f>
        <v/>
      </c>
      <c r="X16" s="18">
        <f>X15+X8</f>
        <v/>
      </c>
      <c r="Y16" s="17">
        <f>Y15+Y8</f>
        <v/>
      </c>
      <c r="Z16" s="17">
        <f>Z15+Z8</f>
        <v/>
      </c>
      <c r="AA16" s="17">
        <f>AA15+AA8</f>
        <v/>
      </c>
      <c r="AB16" s="17">
        <f>AB15+AB8</f>
        <v/>
      </c>
      <c r="AC16" s="17">
        <f>AC15+AC8</f>
        <v/>
      </c>
      <c r="AD16" s="17">
        <f>AD15+AD8</f>
        <v/>
      </c>
      <c r="AE16" s="17">
        <f>AE15+AE8</f>
        <v/>
      </c>
      <c r="AF16" s="17">
        <f>AF15+AF8</f>
        <v/>
      </c>
      <c r="AG16" s="17">
        <f>AG15+AG8</f>
        <v/>
      </c>
      <c r="AH16" s="17">
        <f>AH15+AH8</f>
        <v/>
      </c>
      <c r="AI16" s="17">
        <f>AI15+AI8</f>
        <v/>
      </c>
      <c r="AJ16" s="18">
        <f>AJ15+AJ8</f>
        <v/>
      </c>
      <c r="AK16" s="18">
        <f>AK15+AK8</f>
        <v/>
      </c>
      <c r="AL16" s="18">
        <f>AL15+AL8</f>
        <v/>
      </c>
      <c r="AM16" s="18">
        <f>AM15+AM8</f>
        <v/>
      </c>
      <c r="AN16" s="18">
        <f>AN15+AN8</f>
        <v/>
      </c>
      <c r="AO16" s="18">
        <f>AO15+AO8</f>
        <v/>
      </c>
      <c r="AP16" s="18">
        <f>AP15+AP8</f>
        <v/>
      </c>
      <c r="AQ16" s="18">
        <f>AQ15+AQ8</f>
        <v/>
      </c>
      <c r="AR16" s="18">
        <f>AR15+AR8</f>
        <v/>
      </c>
      <c r="AS16" s="18">
        <f>AS15+AS8</f>
        <v/>
      </c>
    </row>
  </sheetData>
  <mergeCells count="2">
    <mergeCell ref="A3:AS3"/>
    <mergeCell ref="A9:AS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13"/>
  <sheetViews>
    <sheetView zoomScaleNormal="100" workbookViewId="0">
      <pane xSplit="1" ySplit="2" topLeftCell="L3" activePane="bottomRight" state="frozen"/>
      <selection pane="topRight" activeCell="L1" sqref="L1"/>
      <selection pane="bottomLeft" activeCell="A3" sqref="A3"/>
      <selection pane="bottomRight" activeCell="R5" sqref="R5"/>
    </sheetView>
  </sheetViews>
  <sheetFormatPr baseColWidth="8" defaultColWidth="8.7109375" defaultRowHeight="15"/>
  <cols>
    <col width="28" customWidth="1" min="1" max="1"/>
    <col width="13" customWidth="1" min="2" max="45"/>
  </cols>
  <sheetData>
    <row r="1" ht="19.5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27.75" customHeight="1">
      <c r="B2" s="2" t="inlineStr">
        <is>
          <t>Marzo 2025</t>
        </is>
      </c>
      <c r="C2" s="2" t="inlineStr">
        <is>
          <t>Abril 2025</t>
        </is>
      </c>
      <c r="D2" s="2" t="inlineStr">
        <is>
          <t>Mayo 2025</t>
        </is>
      </c>
      <c r="E2" s="2" t="inlineStr">
        <is>
          <t>Junio 2025</t>
        </is>
      </c>
      <c r="F2" s="2" t="inlineStr">
        <is>
          <t>Julio 2025</t>
        </is>
      </c>
      <c r="G2" s="2" t="inlineStr">
        <is>
          <t>Agosto 2025</t>
        </is>
      </c>
      <c r="H2" s="2" t="inlineStr">
        <is>
          <t>Septiembre 2025</t>
        </is>
      </c>
      <c r="I2" s="2" t="inlineStr">
        <is>
          <t>Octubre 2025</t>
        </is>
      </c>
      <c r="J2" s="2" t="inlineStr">
        <is>
          <t>Noviembre 2025</t>
        </is>
      </c>
      <c r="K2" s="2" t="inlineStr">
        <is>
          <t>Diciembre 2025</t>
        </is>
      </c>
      <c r="L2" s="2" t="inlineStr">
        <is>
          <t>Enero 2026</t>
        </is>
      </c>
      <c r="M2" s="2" t="inlineStr">
        <is>
          <t>Febrero 2026</t>
        </is>
      </c>
      <c r="N2" s="2" t="inlineStr">
        <is>
          <t>Marzo 2026</t>
        </is>
      </c>
      <c r="O2" s="2" t="inlineStr">
        <is>
          <t>Abril 2026</t>
        </is>
      </c>
      <c r="P2" s="2" t="inlineStr">
        <is>
          <t>Mayo 2026</t>
        </is>
      </c>
      <c r="Q2" s="2" t="inlineStr">
        <is>
          <t>Junio 2026</t>
        </is>
      </c>
      <c r="R2" s="2" t="inlineStr">
        <is>
          <t>Julio 2026</t>
        </is>
      </c>
      <c r="S2" s="2" t="inlineStr">
        <is>
          <t>Agosto 2026</t>
        </is>
      </c>
      <c r="T2" s="2" t="inlineStr">
        <is>
          <t>Septiembre 2026</t>
        </is>
      </c>
      <c r="U2" s="2" t="inlineStr">
        <is>
          <t>Octubre 2026</t>
        </is>
      </c>
      <c r="V2" s="2" t="inlineStr">
        <is>
          <t>Noviembre 2026</t>
        </is>
      </c>
      <c r="W2" s="2" t="inlineStr">
        <is>
          <t>Diciembre 2026</t>
        </is>
      </c>
      <c r="X2" s="2" t="inlineStr">
        <is>
          <t>Enero 2027</t>
        </is>
      </c>
      <c r="Y2" s="2" t="inlineStr">
        <is>
          <t>Febrero 2027</t>
        </is>
      </c>
      <c r="Z2" s="2" t="inlineStr">
        <is>
          <t>Marzo 2027</t>
        </is>
      </c>
      <c r="AA2" s="2" t="inlineStr">
        <is>
          <t>Abril 2027</t>
        </is>
      </c>
      <c r="AB2" s="2" t="inlineStr">
        <is>
          <t>Mayo 2027</t>
        </is>
      </c>
      <c r="AC2" s="2" t="inlineStr">
        <is>
          <t>Junio 2027</t>
        </is>
      </c>
      <c r="AD2" s="2" t="inlineStr">
        <is>
          <t>Julio 2027</t>
        </is>
      </c>
      <c r="AE2" s="2" t="inlineStr">
        <is>
          <t>Agosto 2027</t>
        </is>
      </c>
      <c r="AF2" s="2" t="inlineStr">
        <is>
          <t>Septiembre 2027</t>
        </is>
      </c>
      <c r="AG2" s="2" t="inlineStr">
        <is>
          <t>Octubre 2027</t>
        </is>
      </c>
      <c r="AH2" s="2" t="inlineStr">
        <is>
          <t>Noviembre 2027</t>
        </is>
      </c>
      <c r="AI2" s="2" t="inlineStr">
        <is>
          <t>Diciembre 2027</t>
        </is>
      </c>
      <c r="AJ2" s="2" t="inlineStr">
        <is>
          <t>Enero 2028</t>
        </is>
      </c>
      <c r="AK2" s="2" t="inlineStr">
        <is>
          <t>Febrero 2028</t>
        </is>
      </c>
      <c r="AL2" s="2" t="inlineStr">
        <is>
          <t>Marzo 2028</t>
        </is>
      </c>
      <c r="AM2" s="2" t="inlineStr">
        <is>
          <t>Abril 2028</t>
        </is>
      </c>
      <c r="AN2" s="2" t="inlineStr">
        <is>
          <t>Mayo 2028</t>
        </is>
      </c>
      <c r="AO2" s="2" t="inlineStr">
        <is>
          <t>Junio 2028</t>
        </is>
      </c>
      <c r="AP2" s="2" t="inlineStr">
        <is>
          <t>Julio 2028</t>
        </is>
      </c>
      <c r="AQ2" s="2" t="inlineStr">
        <is>
          <t>Agosto 2028</t>
        </is>
      </c>
      <c r="AR2" s="2" t="inlineStr">
        <is>
          <t>Septiembre 2028</t>
        </is>
      </c>
      <c r="AS2" s="2" t="inlineStr">
        <is>
          <t>Octubre 2028</t>
        </is>
      </c>
    </row>
    <row r="3" ht="19.5" customHeight="1">
      <c r="A3" s="31" t="inlineStr">
        <is>
          <t>💳 TARJETAS &amp; BANCOS</t>
        </is>
      </c>
    </row>
    <row r="4" ht="18" customHeight="1">
      <c r="A4" s="19" t="inlineStr">
        <is>
          <t>Banco BBVA</t>
        </is>
      </c>
      <c r="B4" s="4" t="n">
        <v>-1081714.01</v>
      </c>
      <c r="C4" s="4" t="n">
        <v>-751591.6899999999</v>
      </c>
      <c r="D4" s="4" t="n">
        <v>-751591.6899999999</v>
      </c>
      <c r="E4" s="4" t="n">
        <v>-1360000</v>
      </c>
      <c r="F4" s="4" t="n">
        <v>-1083000</v>
      </c>
      <c r="G4" s="4" t="n">
        <v>-1450000</v>
      </c>
      <c r="H4" s="4" t="n">
        <v>-1695000</v>
      </c>
      <c r="I4" s="4" t="n">
        <v>-1300000</v>
      </c>
      <c r="J4" s="4" t="n">
        <v>-1733000</v>
      </c>
      <c r="K4" s="4" t="n">
        <v>-1450000</v>
      </c>
      <c r="L4" s="4" t="n">
        <v>-400000</v>
      </c>
      <c r="M4" s="4" t="n">
        <v>-400000</v>
      </c>
      <c r="N4" s="4" t="n">
        <v>-400000</v>
      </c>
      <c r="O4" s="4" t="n">
        <v>-155000</v>
      </c>
      <c r="P4" s="4" t="n">
        <v>-370000</v>
      </c>
      <c r="Q4" s="4" t="n">
        <v>-528000</v>
      </c>
      <c r="R4" s="4" t="n">
        <v>-900000</v>
      </c>
      <c r="S4" s="4" t="n">
        <v>-600000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 t="n">
        <v>0</v>
      </c>
      <c r="AC4" s="4" t="n">
        <v>0</v>
      </c>
      <c r="AD4" s="4" t="n">
        <v>0</v>
      </c>
      <c r="AE4" s="4" t="n">
        <v>0</v>
      </c>
      <c r="AF4" s="4" t="n">
        <v>0</v>
      </c>
      <c r="AG4" s="4" t="n">
        <v>0</v>
      </c>
      <c r="AH4" s="4" t="n">
        <v>0</v>
      </c>
      <c r="AI4" s="4" t="n">
        <v>0</v>
      </c>
      <c r="AJ4" s="4" t="n">
        <v>0</v>
      </c>
      <c r="AK4" s="4" t="n">
        <v>0</v>
      </c>
      <c r="AL4" s="4" t="n">
        <v>0</v>
      </c>
      <c r="AM4" s="4" t="n">
        <v>0</v>
      </c>
      <c r="AN4" s="4" t="n">
        <v>0</v>
      </c>
      <c r="AO4" s="4" t="n">
        <v>0</v>
      </c>
      <c r="AP4" s="4" t="n">
        <v>0</v>
      </c>
      <c r="AQ4" s="4" t="n">
        <v>0</v>
      </c>
      <c r="AR4" s="4" t="n">
        <v>0</v>
      </c>
      <c r="AS4" s="4" t="n">
        <v>0</v>
      </c>
    </row>
    <row r="5" ht="18" customHeight="1">
      <c r="A5" s="19" t="inlineStr">
        <is>
          <t>Banco Mercado Pago</t>
        </is>
      </c>
      <c r="B5" s="4" t="n">
        <v>-149000</v>
      </c>
      <c r="C5" s="4" t="n">
        <v>-149000</v>
      </c>
      <c r="D5" s="4" t="n">
        <v>-149000</v>
      </c>
      <c r="E5" s="4" t="n">
        <v>-149000</v>
      </c>
      <c r="F5" s="4" t="n">
        <v>-128000</v>
      </c>
      <c r="G5" s="4" t="n">
        <v>-474000</v>
      </c>
      <c r="H5" s="4" t="n">
        <v>-502000</v>
      </c>
      <c r="I5" s="4" t="n">
        <v>0</v>
      </c>
      <c r="J5" s="4" t="n">
        <v>-161000</v>
      </c>
      <c r="K5" s="4" t="n">
        <v>-161000</v>
      </c>
      <c r="L5" s="4" t="n">
        <v>-161000</v>
      </c>
      <c r="M5" s="4" t="n">
        <v>-161000</v>
      </c>
      <c r="N5" s="4" t="n">
        <v>-161000</v>
      </c>
      <c r="O5" s="4" t="n">
        <v>-161000</v>
      </c>
      <c r="P5" s="4" t="n">
        <v>-161000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  <c r="AB5" s="4" t="n">
        <v>0</v>
      </c>
      <c r="AC5" s="4" t="n">
        <v>0</v>
      </c>
      <c r="AD5" s="4" t="n">
        <v>0</v>
      </c>
      <c r="AE5" s="4" t="n">
        <v>0</v>
      </c>
      <c r="AF5" s="4" t="n">
        <v>0</v>
      </c>
      <c r="AG5" s="4" t="n">
        <v>0</v>
      </c>
      <c r="AH5" s="4" t="n">
        <v>0</v>
      </c>
      <c r="AI5" s="4" t="n">
        <v>0</v>
      </c>
      <c r="AJ5" s="4" t="n">
        <v>0</v>
      </c>
      <c r="AK5" s="4" t="n">
        <v>0</v>
      </c>
      <c r="AL5" s="4" t="n">
        <v>0</v>
      </c>
      <c r="AM5" s="4" t="n">
        <v>0</v>
      </c>
      <c r="AN5" s="4" t="n">
        <v>0</v>
      </c>
      <c r="AO5" s="4" t="n">
        <v>0</v>
      </c>
      <c r="AP5" s="4" t="n">
        <v>0</v>
      </c>
      <c r="AQ5" s="4" t="n">
        <v>0</v>
      </c>
      <c r="AR5" s="4" t="n">
        <v>0</v>
      </c>
      <c r="AS5" s="4" t="n">
        <v>0</v>
      </c>
    </row>
    <row r="6" ht="18" customHeight="1">
      <c r="A6" s="19" t="inlineStr">
        <is>
          <t>Préstamo BBVA</t>
        </is>
      </c>
      <c r="B6" s="4" t="n">
        <v>-202870</v>
      </c>
      <c r="C6" s="4" t="n">
        <v>-202870</v>
      </c>
      <c r="D6" s="4" t="n">
        <v>-202870</v>
      </c>
      <c r="E6" s="4" t="n">
        <v>-202870</v>
      </c>
      <c r="F6" s="4" t="n">
        <v>-202870</v>
      </c>
      <c r="G6" s="4" t="n">
        <v>-202870</v>
      </c>
      <c r="H6" s="4" t="n">
        <v>-3862277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 t="n">
        <v>0</v>
      </c>
      <c r="AC6" s="4" t="n">
        <v>0</v>
      </c>
      <c r="AD6" s="4" t="n">
        <v>0</v>
      </c>
      <c r="AE6" s="4" t="n">
        <v>0</v>
      </c>
      <c r="AF6" s="4" t="n">
        <v>0</v>
      </c>
      <c r="AG6" s="4" t="n">
        <v>0</v>
      </c>
      <c r="AH6" s="4" t="n">
        <v>0</v>
      </c>
      <c r="AI6" s="4" t="n">
        <v>0</v>
      </c>
      <c r="AJ6" s="4" t="n">
        <v>0</v>
      </c>
      <c r="AK6" s="4" t="n">
        <v>0</v>
      </c>
      <c r="AL6" s="4" t="n">
        <v>0</v>
      </c>
      <c r="AM6" s="4" t="n">
        <v>0</v>
      </c>
      <c r="AN6" s="4" t="n">
        <v>0</v>
      </c>
      <c r="AO6" s="4" t="n">
        <v>0</v>
      </c>
      <c r="AP6" s="4" t="n">
        <v>0</v>
      </c>
      <c r="AQ6" s="4" t="n">
        <v>0</v>
      </c>
      <c r="AR6" s="4" t="n">
        <v>0</v>
      </c>
      <c r="AS6" s="4" t="n">
        <v>0</v>
      </c>
    </row>
    <row r="7" ht="18" customHeight="1">
      <c r="A7" s="19" t="inlineStr">
        <is>
          <t>Préstamo Naranja X</t>
        </is>
      </c>
      <c r="B7" s="4" t="n">
        <v>0</v>
      </c>
      <c r="C7" s="4" t="n">
        <v>-83000</v>
      </c>
      <c r="D7" s="4" t="n">
        <v>-83000</v>
      </c>
      <c r="E7" s="4" t="n">
        <v>-83000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 t="n">
        <v>0</v>
      </c>
      <c r="AC7" s="4" t="n">
        <v>0</v>
      </c>
      <c r="AD7" s="4" t="n">
        <v>0</v>
      </c>
      <c r="AE7" s="4" t="n">
        <v>0</v>
      </c>
      <c r="AF7" s="4" t="n">
        <v>0</v>
      </c>
      <c r="AG7" s="4" t="n">
        <v>0</v>
      </c>
      <c r="AH7" s="4" t="n">
        <v>0</v>
      </c>
      <c r="AI7" s="4" t="n">
        <v>0</v>
      </c>
      <c r="AJ7" s="4" t="n">
        <v>0</v>
      </c>
      <c r="AK7" s="4" t="n">
        <v>0</v>
      </c>
      <c r="AL7" s="4" t="n">
        <v>0</v>
      </c>
      <c r="AM7" s="4" t="n">
        <v>0</v>
      </c>
      <c r="AN7" s="4" t="n">
        <v>0</v>
      </c>
      <c r="AO7" s="4" t="n">
        <v>0</v>
      </c>
      <c r="AP7" s="4" t="n">
        <v>0</v>
      </c>
      <c r="AQ7" s="4" t="n">
        <v>0</v>
      </c>
      <c r="AR7" s="4" t="n">
        <v>0</v>
      </c>
      <c r="AS7" s="4" t="n">
        <v>0</v>
      </c>
    </row>
    <row r="8" ht="18" customHeight="1">
      <c r="A8" s="19" t="inlineStr">
        <is>
          <t>Banco Naranja X</t>
        </is>
      </c>
      <c r="B8" s="4" t="n">
        <v>-840000</v>
      </c>
      <c r="C8" s="4" t="n">
        <v>-120600</v>
      </c>
      <c r="D8" s="4" t="n">
        <v>-1067000</v>
      </c>
      <c r="E8" s="4" t="n">
        <v>-895000</v>
      </c>
      <c r="F8" s="4" t="n">
        <v>-740000</v>
      </c>
      <c r="G8" s="4" t="n">
        <v>-680000</v>
      </c>
      <c r="H8" s="4" t="n">
        <v>-700000</v>
      </c>
      <c r="I8" s="4" t="n">
        <v>-560000</v>
      </c>
      <c r="J8" s="4" t="n">
        <v>-850000</v>
      </c>
      <c r="K8" s="4" t="n">
        <v>-1000000</v>
      </c>
      <c r="L8" s="4" t="n">
        <v>-600000</v>
      </c>
      <c r="M8" s="4" t="n">
        <v>-127000</v>
      </c>
      <c r="N8" s="4" t="n">
        <v>-193000</v>
      </c>
      <c r="O8" s="4" t="n">
        <v>-139000</v>
      </c>
      <c r="P8" s="4" t="n">
        <v>-139000</v>
      </c>
      <c r="Q8" s="4" t="n">
        <v>-139000</v>
      </c>
      <c r="R8" s="4" t="n">
        <v>-139000</v>
      </c>
      <c r="S8" s="4" t="n">
        <v>-139000</v>
      </c>
      <c r="T8" s="4" t="n">
        <v>-139000</v>
      </c>
      <c r="U8" s="4" t="n">
        <v>-139000</v>
      </c>
      <c r="V8" s="4" t="n">
        <v>-139000</v>
      </c>
      <c r="W8" s="4" t="n">
        <v>-139000</v>
      </c>
      <c r="X8" s="4" t="n">
        <v>-139000</v>
      </c>
      <c r="Y8" s="4" t="n">
        <v>-139000</v>
      </c>
      <c r="Z8" s="4" t="n">
        <v>-139000</v>
      </c>
      <c r="AA8" s="4" t="n">
        <v>-139000</v>
      </c>
      <c r="AB8" s="4" t="n">
        <v>-139000</v>
      </c>
      <c r="AC8" s="4" t="n">
        <v>-139000</v>
      </c>
      <c r="AD8" s="4" t="n">
        <v>-139000</v>
      </c>
      <c r="AE8" s="4" t="n">
        <v>-139000</v>
      </c>
      <c r="AF8" s="4" t="n">
        <v>-139000</v>
      </c>
      <c r="AG8" s="4" t="n">
        <v>-139000</v>
      </c>
      <c r="AH8" s="4" t="n">
        <v>-139000</v>
      </c>
      <c r="AI8" s="4" t="n">
        <v>-139000</v>
      </c>
      <c r="AJ8" s="4" t="n">
        <v>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0</v>
      </c>
      <c r="AS8" s="4" t="n">
        <v>0</v>
      </c>
    </row>
    <row r="9" ht="18" customHeight="1">
      <c r="A9" s="19" t="inlineStr">
        <is>
          <t>Banco Santander</t>
        </is>
      </c>
      <c r="B9" s="4" t="n">
        <v>-34000</v>
      </c>
      <c r="C9" s="4" t="n">
        <v>-34000</v>
      </c>
      <c r="D9" s="4" t="n">
        <v>-34000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 t="n">
        <v>0</v>
      </c>
      <c r="AC9" s="4" t="n">
        <v>0</v>
      </c>
      <c r="AD9" s="4" t="n">
        <v>0</v>
      </c>
      <c r="AE9" s="4" t="n">
        <v>0</v>
      </c>
      <c r="AF9" s="4" t="n">
        <v>0</v>
      </c>
      <c r="AG9" s="4" t="n">
        <v>0</v>
      </c>
      <c r="AH9" s="4" t="n">
        <v>0</v>
      </c>
      <c r="AI9" s="4" t="n">
        <v>0</v>
      </c>
      <c r="AJ9" s="4" t="n">
        <v>0</v>
      </c>
      <c r="AK9" s="4" t="n">
        <v>0</v>
      </c>
      <c r="AL9" s="4" t="n">
        <v>0</v>
      </c>
      <c r="AM9" s="4" t="n">
        <v>0</v>
      </c>
      <c r="AN9" s="4" t="n">
        <v>0</v>
      </c>
      <c r="AO9" s="4" t="n">
        <v>0</v>
      </c>
      <c r="AP9" s="4" t="n">
        <v>0</v>
      </c>
      <c r="AQ9" s="4" t="n">
        <v>0</v>
      </c>
      <c r="AR9" s="4" t="n">
        <v>0</v>
      </c>
      <c r="AS9" s="4" t="n">
        <v>0</v>
      </c>
    </row>
    <row r="10" ht="18" customHeight="1">
      <c r="A10" s="19" t="inlineStr">
        <is>
          <t>Banco BNA (Franco)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-250000</v>
      </c>
      <c r="N10" s="4" t="n">
        <v>-170000</v>
      </c>
      <c r="O10" s="4" t="n">
        <v>-70000</v>
      </c>
      <c r="P10" s="4" t="n">
        <v>-137000</v>
      </c>
      <c r="Q10" s="4" t="n">
        <v>-160000</v>
      </c>
      <c r="R10" s="4" t="n">
        <v>-400000</v>
      </c>
      <c r="S10" s="4" t="n">
        <v>-200000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  <c r="AL10" s="4" t="n">
        <v>0</v>
      </c>
      <c r="AM10" s="4" t="n">
        <v>0</v>
      </c>
      <c r="AN10" s="4" t="n">
        <v>0</v>
      </c>
      <c r="AO10" s="4" t="n">
        <v>0</v>
      </c>
      <c r="AP10" s="4" t="n">
        <v>0</v>
      </c>
      <c r="AQ10" s="4" t="n">
        <v>0</v>
      </c>
      <c r="AR10" s="4" t="n">
        <v>0</v>
      </c>
      <c r="AS10" s="4" t="n">
        <v>0</v>
      </c>
    </row>
    <row r="11" ht="18" customHeight="1">
      <c r="A11" s="19" t="inlineStr">
        <is>
          <t>Banco BNA (Abi)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-200000</v>
      </c>
      <c r="O11" s="4" t="n">
        <v>-50000</v>
      </c>
      <c r="P11" s="4" t="n">
        <v>-37000</v>
      </c>
      <c r="Q11" s="4" t="n">
        <v>0</v>
      </c>
      <c r="R11" s="4" t="n">
        <v>-140000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n">
        <v>0</v>
      </c>
      <c r="AC11" s="4" t="n">
        <v>0</v>
      </c>
      <c r="AD11" s="4" t="n">
        <v>0</v>
      </c>
      <c r="AE11" s="4" t="n">
        <v>0</v>
      </c>
      <c r="AF11" s="4" t="n">
        <v>0</v>
      </c>
      <c r="AG11" s="4" t="n">
        <v>0</v>
      </c>
      <c r="AH11" s="4" t="n">
        <v>0</v>
      </c>
      <c r="AI11" s="4" t="n">
        <v>0</v>
      </c>
      <c r="AJ11" s="4" t="n">
        <v>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R11" s="4" t="n">
        <v>0</v>
      </c>
      <c r="AS11" s="4" t="n">
        <v>0</v>
      </c>
    </row>
    <row r="12" ht="18" customHeight="1">
      <c r="A12" s="19" t="inlineStr">
        <is>
          <t>GO Cuotas (Abi)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-70000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 t="n">
        <v>0</v>
      </c>
      <c r="AC12" s="4" t="n">
        <v>0</v>
      </c>
      <c r="AD12" s="4" t="n">
        <v>0</v>
      </c>
      <c r="AE12" s="4" t="n">
        <v>0</v>
      </c>
      <c r="AF12" s="4" t="n">
        <v>0</v>
      </c>
      <c r="AG12" s="4" t="n">
        <v>0</v>
      </c>
      <c r="AH12" s="4" t="n">
        <v>0</v>
      </c>
      <c r="AI12" s="4" t="n">
        <v>0</v>
      </c>
      <c r="AJ12" s="4" t="n">
        <v>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AR12" s="4" t="n">
        <v>0</v>
      </c>
      <c r="AS12" s="4" t="n">
        <v>0</v>
      </c>
    </row>
    <row r="13">
      <c r="A13" s="20" t="inlineStr">
        <is>
          <t>TOTAL</t>
        </is>
      </c>
      <c r="B13" s="21">
        <f>SUM(B4:B12)</f>
        <v/>
      </c>
      <c r="C13" s="21">
        <f>SUM(C4:C12)</f>
        <v/>
      </c>
      <c r="D13" s="21">
        <f>SUM(D4:D12)</f>
        <v/>
      </c>
      <c r="E13" s="21">
        <f>SUM(E4:E12)</f>
        <v/>
      </c>
      <c r="F13" s="21">
        <f>SUM(F4:F12)</f>
        <v/>
      </c>
      <c r="G13" s="21">
        <f>SUM(G4:G12)</f>
        <v/>
      </c>
      <c r="H13" s="21">
        <f>SUM(H4:H12)</f>
        <v/>
      </c>
      <c r="I13" s="21">
        <f>SUM(I4:I12)</f>
        <v/>
      </c>
      <c r="J13" s="21">
        <f>SUM(J4:J12)</f>
        <v/>
      </c>
      <c r="K13" s="21">
        <f>SUM(K4:K12)</f>
        <v/>
      </c>
      <c r="L13" s="21">
        <f>SUM(L4:L12)</f>
        <v/>
      </c>
      <c r="M13" s="21">
        <f>SUM(M4:M12)</f>
        <v/>
      </c>
      <c r="N13" s="21">
        <f>SUM(N4:N12)</f>
        <v/>
      </c>
      <c r="O13" s="21">
        <f>SUM(O4:O12)</f>
        <v/>
      </c>
      <c r="P13" s="21">
        <f>SUM(P4:P12)</f>
        <v/>
      </c>
      <c r="Q13" s="21">
        <f>SUM(Q4:Q12)</f>
        <v/>
      </c>
      <c r="R13" s="21">
        <f>SUM(R4:R12)</f>
        <v/>
      </c>
      <c r="S13" s="21">
        <f>SUM(S4:S12)</f>
        <v/>
      </c>
      <c r="T13" s="21">
        <f>SUM(T4:T12)</f>
        <v/>
      </c>
      <c r="U13" s="21">
        <f>SUM(U4:U12)</f>
        <v/>
      </c>
      <c r="V13" s="21">
        <f>SUM(V4:V12)</f>
        <v/>
      </c>
      <c r="W13" s="21">
        <f>SUM(W4:W12)</f>
        <v/>
      </c>
      <c r="X13" s="21">
        <f>SUM(X4:X12)</f>
        <v/>
      </c>
      <c r="Y13" s="21">
        <f>SUM(Y4:Y12)</f>
        <v/>
      </c>
      <c r="Z13" s="21">
        <f>SUM(Z4:Z12)</f>
        <v/>
      </c>
      <c r="AA13" s="21">
        <f>SUM(AA4:AA12)</f>
        <v/>
      </c>
      <c r="AB13" s="21">
        <f>SUM(AB4:AB12)</f>
        <v/>
      </c>
      <c r="AC13" s="21">
        <f>SUM(AC4:AC12)</f>
        <v/>
      </c>
      <c r="AD13" s="21">
        <f>SUM(AD4:AD12)</f>
        <v/>
      </c>
      <c r="AE13" s="21">
        <f>SUM(AE4:AE12)</f>
        <v/>
      </c>
      <c r="AF13" s="21">
        <f>SUM(AF4:AF12)</f>
        <v/>
      </c>
      <c r="AG13" s="21">
        <f>SUM(AG4:AG12)</f>
        <v/>
      </c>
      <c r="AH13" s="21">
        <f>SUM(AH4:AH12)</f>
        <v/>
      </c>
      <c r="AI13" s="21">
        <f>SUM(AI4:AI12)</f>
        <v/>
      </c>
      <c r="AJ13" s="21">
        <f>SUM(AJ4:AJ12)</f>
        <v/>
      </c>
      <c r="AK13" s="21">
        <f>SUM(AK4:AK12)</f>
        <v/>
      </c>
      <c r="AL13" s="21">
        <f>SUM(AL4:AL12)</f>
        <v/>
      </c>
      <c r="AM13" s="21">
        <f>SUM(AM4:AM12)</f>
        <v/>
      </c>
      <c r="AN13" s="21">
        <f>SUM(AN4:AN12)</f>
        <v/>
      </c>
      <c r="AO13" s="21">
        <f>SUM(AO4:AO12)</f>
        <v/>
      </c>
      <c r="AP13" s="21">
        <f>SUM(AP4:AP12)</f>
        <v/>
      </c>
      <c r="AQ13" s="21">
        <f>SUM(AQ4:AQ12)</f>
        <v/>
      </c>
      <c r="AR13" s="21">
        <f>SUM(AR4:AR12)</f>
        <v/>
      </c>
      <c r="AS13" s="21">
        <f>SUM(AS4:AS12)</f>
        <v/>
      </c>
    </row>
  </sheetData>
  <mergeCells count="1">
    <mergeCell ref="A3:AS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10"/>
  <sheetViews>
    <sheetView zoomScaleNormal="100" workbookViewId="0">
      <pane xSplit="1" ySplit="2" topLeftCell="M3" activePane="bottomRight" state="frozen"/>
      <selection pane="topRight" activeCell="M1" sqref="M1"/>
      <selection pane="bottomLeft" activeCell="A3" sqref="A3"/>
      <selection pane="bottomRight" activeCell="U18" sqref="U18"/>
    </sheetView>
  </sheetViews>
  <sheetFormatPr baseColWidth="8" defaultColWidth="8.7109375" defaultRowHeight="15"/>
  <cols>
    <col width="28" customWidth="1" min="1" max="1"/>
    <col width="13" customWidth="1" min="2" max="45"/>
  </cols>
  <sheetData>
    <row r="1" ht="19.5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27.75" customHeight="1">
      <c r="B2" s="2" t="inlineStr">
        <is>
          <t>Marzo 2025</t>
        </is>
      </c>
      <c r="C2" s="2" t="inlineStr">
        <is>
          <t>Abril 2025</t>
        </is>
      </c>
      <c r="D2" s="2" t="inlineStr">
        <is>
          <t>Mayo 2025</t>
        </is>
      </c>
      <c r="E2" s="2" t="inlineStr">
        <is>
          <t>Junio 2025</t>
        </is>
      </c>
      <c r="F2" s="2" t="inlineStr">
        <is>
          <t>Julio 2025</t>
        </is>
      </c>
      <c r="G2" s="2" t="inlineStr">
        <is>
          <t>Agosto 2025</t>
        </is>
      </c>
      <c r="H2" s="2" t="inlineStr">
        <is>
          <t>Septiembre 2025</t>
        </is>
      </c>
      <c r="I2" s="2" t="inlineStr">
        <is>
          <t>Octubre 2025</t>
        </is>
      </c>
      <c r="J2" s="2" t="inlineStr">
        <is>
          <t>Noviembre 2025</t>
        </is>
      </c>
      <c r="K2" s="2" t="inlineStr">
        <is>
          <t>Diciembre 2025</t>
        </is>
      </c>
      <c r="L2" s="2" t="inlineStr">
        <is>
          <t>Enero 2026</t>
        </is>
      </c>
      <c r="M2" s="2" t="inlineStr">
        <is>
          <t>Febrero 2026</t>
        </is>
      </c>
      <c r="N2" s="2" t="inlineStr">
        <is>
          <t>Marzo 2026</t>
        </is>
      </c>
      <c r="O2" s="2" t="inlineStr">
        <is>
          <t>Abril 2026</t>
        </is>
      </c>
      <c r="P2" s="2" t="inlineStr">
        <is>
          <t>Mayo 2026</t>
        </is>
      </c>
      <c r="Q2" s="2" t="inlineStr">
        <is>
          <t>Junio 2026</t>
        </is>
      </c>
      <c r="R2" s="2" t="inlineStr">
        <is>
          <t>Julio 2026</t>
        </is>
      </c>
      <c r="S2" s="2" t="inlineStr">
        <is>
          <t>Agosto 2026</t>
        </is>
      </c>
      <c r="T2" s="2" t="inlineStr">
        <is>
          <t>Septiembre 2026</t>
        </is>
      </c>
      <c r="U2" s="2" t="inlineStr">
        <is>
          <t>Octubre 2026</t>
        </is>
      </c>
      <c r="V2" s="2" t="inlineStr">
        <is>
          <t>Noviembre 2026</t>
        </is>
      </c>
      <c r="W2" s="2" t="inlineStr">
        <is>
          <t>Diciembre 2026</t>
        </is>
      </c>
      <c r="X2" s="2" t="inlineStr">
        <is>
          <t>Enero 2027</t>
        </is>
      </c>
      <c r="Y2" s="2" t="inlineStr">
        <is>
          <t>Febrero 2027</t>
        </is>
      </c>
      <c r="Z2" s="2" t="inlineStr">
        <is>
          <t>Marzo 2027</t>
        </is>
      </c>
      <c r="AA2" s="2" t="inlineStr">
        <is>
          <t>Abril 2027</t>
        </is>
      </c>
      <c r="AB2" s="2" t="inlineStr">
        <is>
          <t>Mayo 2027</t>
        </is>
      </c>
      <c r="AC2" s="2" t="inlineStr">
        <is>
          <t>Junio 2027</t>
        </is>
      </c>
      <c r="AD2" s="2" t="inlineStr">
        <is>
          <t>Julio 2027</t>
        </is>
      </c>
      <c r="AE2" s="2" t="inlineStr">
        <is>
          <t>Agosto 2027</t>
        </is>
      </c>
      <c r="AF2" s="2" t="inlineStr">
        <is>
          <t>Septiembre 2027</t>
        </is>
      </c>
      <c r="AG2" s="2" t="inlineStr">
        <is>
          <t>Octubre 2027</t>
        </is>
      </c>
      <c r="AH2" s="2" t="inlineStr">
        <is>
          <t>Noviembre 2027</t>
        </is>
      </c>
      <c r="AI2" s="2" t="inlineStr">
        <is>
          <t>Diciembre 2027</t>
        </is>
      </c>
      <c r="AJ2" s="2" t="inlineStr">
        <is>
          <t>Enero 2028</t>
        </is>
      </c>
      <c r="AK2" s="2" t="inlineStr">
        <is>
          <t>Febrero 2028</t>
        </is>
      </c>
      <c r="AL2" s="2" t="inlineStr">
        <is>
          <t>Marzo 2028</t>
        </is>
      </c>
      <c r="AM2" s="2" t="inlineStr">
        <is>
          <t>Abril 2028</t>
        </is>
      </c>
      <c r="AN2" s="2" t="inlineStr">
        <is>
          <t>Mayo 2028</t>
        </is>
      </c>
      <c r="AO2" s="2" t="inlineStr">
        <is>
          <t>Junio 2028</t>
        </is>
      </c>
      <c r="AP2" s="2" t="inlineStr">
        <is>
          <t>Julio 2028</t>
        </is>
      </c>
      <c r="AQ2" s="2" t="inlineStr">
        <is>
          <t>Agosto 2028</t>
        </is>
      </c>
      <c r="AR2" s="2" t="inlineStr">
        <is>
          <t>Septiembre 2028</t>
        </is>
      </c>
      <c r="AS2" s="2" t="inlineStr">
        <is>
          <t>Octubre 2028</t>
        </is>
      </c>
    </row>
    <row r="3" ht="19.5" customHeight="1">
      <c r="A3" s="32" t="inlineStr">
        <is>
          <t>🎓 GASTOS PERSONALES</t>
        </is>
      </c>
    </row>
    <row r="4" ht="18" customHeight="1">
      <c r="A4" s="13" t="inlineStr">
        <is>
          <t>Materias Abi</t>
        </is>
      </c>
      <c r="B4" s="6" t="n">
        <v>0</v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0</v>
      </c>
      <c r="M4" s="6" t="n">
        <v>0</v>
      </c>
      <c r="N4" s="6" t="n">
        <v>0</v>
      </c>
      <c r="O4" s="6" t="n">
        <v>0</v>
      </c>
      <c r="P4" s="6" t="n">
        <v>0</v>
      </c>
      <c r="Q4" s="6" t="n">
        <v>0</v>
      </c>
      <c r="R4" s="6" t="n">
        <v>0</v>
      </c>
      <c r="S4" s="6" t="n">
        <v>0</v>
      </c>
      <c r="T4" s="6" t="n">
        <v>0</v>
      </c>
      <c r="U4" s="6" t="n">
        <v>0</v>
      </c>
      <c r="V4" s="6" t="n">
        <v>0</v>
      </c>
      <c r="W4" s="6" t="n">
        <v>0</v>
      </c>
      <c r="X4" s="6" t="n">
        <v>0</v>
      </c>
      <c r="Y4" s="6" t="n">
        <v>0</v>
      </c>
      <c r="Z4" s="6" t="n">
        <v>0</v>
      </c>
      <c r="AA4" s="6" t="n">
        <v>0</v>
      </c>
      <c r="AB4" s="6" t="n">
        <v>0</v>
      </c>
      <c r="AC4" s="6" t="n">
        <v>0</v>
      </c>
      <c r="AD4" s="6" t="n">
        <v>0</v>
      </c>
      <c r="AE4" s="6" t="n">
        <v>0</v>
      </c>
      <c r="AF4" s="6" t="n">
        <v>0</v>
      </c>
      <c r="AG4" s="6" t="n">
        <v>0</v>
      </c>
      <c r="AH4" s="6" t="n">
        <v>0</v>
      </c>
      <c r="AI4" s="6" t="n">
        <v>0</v>
      </c>
      <c r="AJ4" s="6" t="n">
        <v>0</v>
      </c>
      <c r="AK4" s="6" t="n">
        <v>0</v>
      </c>
      <c r="AL4" s="6" t="n">
        <v>0</v>
      </c>
      <c r="AM4" s="6" t="n">
        <v>0</v>
      </c>
      <c r="AN4" s="6" t="n">
        <v>0</v>
      </c>
      <c r="AO4" s="6" t="n">
        <v>0</v>
      </c>
      <c r="AP4" s="6" t="n">
        <v>0</v>
      </c>
      <c r="AQ4" s="6" t="n">
        <v>0</v>
      </c>
      <c r="AR4" s="6" t="n">
        <v>0</v>
      </c>
      <c r="AS4" s="6" t="n">
        <v>0</v>
      </c>
    </row>
    <row r="5" ht="18" customHeight="1">
      <c r="A5" s="13" t="inlineStr">
        <is>
          <t>Materias Franco</t>
        </is>
      </c>
      <c r="B5" s="6" t="n">
        <v>0</v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-30000</v>
      </c>
      <c r="T5" s="6" t="n">
        <v>0</v>
      </c>
      <c r="U5" s="6" t="n">
        <v>0</v>
      </c>
      <c r="V5" s="6" t="n">
        <v>0</v>
      </c>
      <c r="W5" s="6" t="n">
        <v>0</v>
      </c>
      <c r="X5" s="6" t="n">
        <v>0</v>
      </c>
      <c r="Y5" s="6" t="n">
        <v>0</v>
      </c>
      <c r="Z5" s="6" t="n">
        <v>0</v>
      </c>
      <c r="AA5" s="6" t="n">
        <v>0</v>
      </c>
      <c r="AB5" s="6" t="n">
        <v>0</v>
      </c>
      <c r="AC5" s="6" t="n">
        <v>0</v>
      </c>
      <c r="AD5" s="6" t="n">
        <v>0</v>
      </c>
      <c r="AE5" s="6" t="n">
        <v>0</v>
      </c>
      <c r="AF5" s="6" t="n">
        <v>0</v>
      </c>
      <c r="AG5" s="6" t="n">
        <v>0</v>
      </c>
      <c r="AH5" s="6" t="n">
        <v>0</v>
      </c>
      <c r="AI5" s="6" t="n">
        <v>0</v>
      </c>
      <c r="AJ5" s="6" t="n">
        <v>0</v>
      </c>
      <c r="AK5" s="6" t="n">
        <v>0</v>
      </c>
      <c r="AL5" s="6" t="n">
        <v>0</v>
      </c>
      <c r="AM5" s="6" t="n">
        <v>0</v>
      </c>
      <c r="AN5" s="6" t="n">
        <v>0</v>
      </c>
      <c r="AO5" s="6" t="n">
        <v>0</v>
      </c>
      <c r="AP5" s="6" t="n">
        <v>0</v>
      </c>
      <c r="AQ5" s="6" t="n">
        <v>0</v>
      </c>
      <c r="AR5" s="6" t="n">
        <v>0</v>
      </c>
      <c r="AS5" s="6" t="n">
        <v>0</v>
      </c>
    </row>
    <row r="6" ht="18" customHeight="1">
      <c r="A6" s="13" t="inlineStr">
        <is>
          <t>Gimnasio Franco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-35000</v>
      </c>
      <c r="J6" s="6" t="n">
        <v>0</v>
      </c>
      <c r="K6" s="6" t="n">
        <v>0</v>
      </c>
      <c r="L6" s="6" t="n">
        <v>0</v>
      </c>
      <c r="M6" s="6" t="n">
        <v>-39000</v>
      </c>
      <c r="N6" s="6" t="n">
        <v>-39000</v>
      </c>
      <c r="O6" s="6" t="n">
        <v>0</v>
      </c>
      <c r="P6" s="6" t="n">
        <v>0</v>
      </c>
      <c r="Q6" s="6" t="n">
        <v>0</v>
      </c>
      <c r="R6" s="6" t="n">
        <v>0</v>
      </c>
      <c r="S6" s="6" t="n"/>
      <c r="T6" s="6" t="n"/>
      <c r="U6" s="6" t="n"/>
      <c r="V6" s="6" t="n"/>
      <c r="W6" s="6" t="n"/>
      <c r="X6" s="6" t="n">
        <v>0</v>
      </c>
      <c r="Y6" s="6" t="n">
        <v>0</v>
      </c>
      <c r="Z6" s="6" t="n">
        <v>0</v>
      </c>
      <c r="AA6" s="6" t="n">
        <v>0</v>
      </c>
      <c r="AB6" s="6" t="n">
        <v>0</v>
      </c>
      <c r="AC6" s="6" t="n">
        <v>0</v>
      </c>
      <c r="AD6" s="6" t="n">
        <v>0</v>
      </c>
      <c r="AE6" s="6" t="n">
        <v>0</v>
      </c>
      <c r="AF6" s="6" t="n">
        <v>0</v>
      </c>
      <c r="AG6" s="6" t="n">
        <v>0</v>
      </c>
      <c r="AH6" s="6" t="n">
        <v>0</v>
      </c>
      <c r="AI6" s="6" t="n">
        <v>0</v>
      </c>
      <c r="AJ6" s="6" t="n">
        <v>0</v>
      </c>
      <c r="AK6" s="6" t="n">
        <v>0</v>
      </c>
      <c r="AL6" s="6" t="n">
        <v>0</v>
      </c>
      <c r="AM6" s="6" t="n">
        <v>0</v>
      </c>
      <c r="AN6" s="6" t="n">
        <v>0</v>
      </c>
      <c r="AO6" s="6" t="n">
        <v>0</v>
      </c>
      <c r="AP6" s="6" t="n">
        <v>0</v>
      </c>
      <c r="AQ6" s="6" t="n">
        <v>0</v>
      </c>
      <c r="AR6" s="6" t="n">
        <v>0</v>
      </c>
      <c r="AS6" s="6" t="n">
        <v>0</v>
      </c>
    </row>
    <row r="7" ht="18" customHeight="1">
      <c r="A7" s="13" t="inlineStr">
        <is>
          <t>Gimnasio Abi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-35000</v>
      </c>
      <c r="J7" s="6" t="n">
        <v>0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</v>
      </c>
      <c r="W7" s="6" t="n">
        <v>0</v>
      </c>
      <c r="X7" s="6" t="n">
        <v>0</v>
      </c>
      <c r="Y7" s="6" t="n">
        <v>0</v>
      </c>
      <c r="Z7" s="6" t="n">
        <v>0</v>
      </c>
      <c r="AA7" s="6" t="n">
        <v>0</v>
      </c>
      <c r="AB7" s="6" t="n">
        <v>0</v>
      </c>
      <c r="AC7" s="6" t="n">
        <v>0</v>
      </c>
      <c r="AD7" s="6" t="n">
        <v>0</v>
      </c>
      <c r="AE7" s="6" t="n">
        <v>0</v>
      </c>
      <c r="AF7" s="6" t="n">
        <v>0</v>
      </c>
      <c r="AG7" s="6" t="n">
        <v>0</v>
      </c>
      <c r="AH7" s="6" t="n">
        <v>0</v>
      </c>
      <c r="AI7" s="6" t="n">
        <v>0</v>
      </c>
      <c r="AJ7" s="6" t="n">
        <v>0</v>
      </c>
      <c r="AK7" s="6" t="n">
        <v>0</v>
      </c>
      <c r="AL7" s="6" t="n">
        <v>0</v>
      </c>
      <c r="AM7" s="6" t="n">
        <v>0</v>
      </c>
      <c r="AN7" s="6" t="n">
        <v>0</v>
      </c>
      <c r="AO7" s="6" t="n">
        <v>0</v>
      </c>
      <c r="AP7" s="6" t="n">
        <v>0</v>
      </c>
      <c r="AQ7" s="6" t="n">
        <v>0</v>
      </c>
      <c r="AR7" s="6" t="n">
        <v>0</v>
      </c>
      <c r="AS7" s="6" t="n">
        <v>0</v>
      </c>
    </row>
    <row r="8" ht="18" customHeight="1">
      <c r="A8" s="13" t="inlineStr">
        <is>
          <t>Facultad Franco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</v>
      </c>
      <c r="W8" s="6" t="n">
        <v>0</v>
      </c>
      <c r="X8" s="6" t="n">
        <v>0</v>
      </c>
      <c r="Y8" s="6" t="n">
        <v>0</v>
      </c>
      <c r="Z8" s="6" t="n">
        <v>0</v>
      </c>
      <c r="AA8" s="6" t="n">
        <v>0</v>
      </c>
      <c r="AB8" s="6" t="n">
        <v>0</v>
      </c>
      <c r="AC8" s="6" t="n">
        <v>0</v>
      </c>
      <c r="AD8" s="6" t="n">
        <v>0</v>
      </c>
      <c r="AE8" s="6" t="n">
        <v>0</v>
      </c>
      <c r="AF8" s="6" t="n">
        <v>0</v>
      </c>
      <c r="AG8" s="6" t="n">
        <v>0</v>
      </c>
      <c r="AH8" s="6" t="n">
        <v>0</v>
      </c>
      <c r="AI8" s="6" t="n">
        <v>0</v>
      </c>
      <c r="AJ8" s="6" t="n">
        <v>0</v>
      </c>
      <c r="AK8" s="6" t="n">
        <v>0</v>
      </c>
      <c r="AL8" s="6" t="n">
        <v>0</v>
      </c>
      <c r="AM8" s="6" t="n">
        <v>0</v>
      </c>
      <c r="AN8" s="6" t="n">
        <v>0</v>
      </c>
      <c r="AO8" s="6" t="n">
        <v>0</v>
      </c>
      <c r="AP8" s="6" t="n">
        <v>0</v>
      </c>
      <c r="AQ8" s="6" t="n">
        <v>0</v>
      </c>
      <c r="AR8" s="6" t="n">
        <v>0</v>
      </c>
      <c r="AS8" s="6" t="n">
        <v>0</v>
      </c>
    </row>
    <row r="9" ht="18" customHeight="1">
      <c r="A9" s="13" t="inlineStr">
        <is>
          <t>Facultad Abi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-180000</v>
      </c>
      <c r="R9" s="6" t="n">
        <v>-180000</v>
      </c>
      <c r="S9" s="6" t="n">
        <v>-180000</v>
      </c>
      <c r="T9" s="6" t="n">
        <v>-180000</v>
      </c>
      <c r="U9" s="6" t="n">
        <v>-180000</v>
      </c>
      <c r="V9" s="6" t="n">
        <v>-180000</v>
      </c>
      <c r="W9" s="6" t="n">
        <v>-180000</v>
      </c>
      <c r="X9" s="6" t="n">
        <v>0</v>
      </c>
      <c r="Y9" s="6" t="n">
        <v>0</v>
      </c>
      <c r="Z9" s="6" t="n">
        <v>0</v>
      </c>
      <c r="AA9" s="6" t="n">
        <v>0</v>
      </c>
      <c r="AB9" s="6" t="n">
        <v>0</v>
      </c>
      <c r="AC9" s="6" t="n">
        <v>0</v>
      </c>
      <c r="AD9" s="6" t="n">
        <v>0</v>
      </c>
      <c r="AE9" s="6" t="n">
        <v>0</v>
      </c>
      <c r="AF9" s="6" t="n">
        <v>0</v>
      </c>
      <c r="AG9" s="6" t="n">
        <v>0</v>
      </c>
      <c r="AH9" s="6" t="n">
        <v>0</v>
      </c>
      <c r="AI9" s="6" t="n">
        <v>0</v>
      </c>
      <c r="AJ9" s="6" t="n">
        <v>0</v>
      </c>
      <c r="AK9" s="6" t="n">
        <v>0</v>
      </c>
      <c r="AL9" s="6" t="n">
        <v>0</v>
      </c>
      <c r="AM9" s="6" t="n">
        <v>0</v>
      </c>
      <c r="AN9" s="6" t="n">
        <v>0</v>
      </c>
      <c r="AO9" s="6" t="n">
        <v>0</v>
      </c>
      <c r="AP9" s="6" t="n">
        <v>0</v>
      </c>
      <c r="AQ9" s="6" t="n">
        <v>0</v>
      </c>
      <c r="AR9" s="6" t="n">
        <v>0</v>
      </c>
      <c r="AS9" s="6" t="n">
        <v>0</v>
      </c>
    </row>
    <row r="10">
      <c r="A10" s="22" t="inlineStr">
        <is>
          <t>TOTAL</t>
        </is>
      </c>
      <c r="B10" s="23">
        <f>SUM(B4:B9)</f>
        <v/>
      </c>
      <c r="C10" s="23">
        <f>SUM(C4:C9)</f>
        <v/>
      </c>
      <c r="D10" s="23">
        <f>SUM(D4:D9)</f>
        <v/>
      </c>
      <c r="E10" s="23">
        <f>SUM(E4:E9)</f>
        <v/>
      </c>
      <c r="F10" s="23">
        <f>SUM(F4:F9)</f>
        <v/>
      </c>
      <c r="G10" s="23">
        <f>SUM(G4:G9)</f>
        <v/>
      </c>
      <c r="H10" s="23">
        <f>SUM(H4:H9)</f>
        <v/>
      </c>
      <c r="I10" s="23">
        <f>SUM(I4:I9)</f>
        <v/>
      </c>
      <c r="J10" s="23">
        <f>SUM(J4:J9)</f>
        <v/>
      </c>
      <c r="K10" s="23">
        <f>SUM(K4:K9)</f>
        <v/>
      </c>
      <c r="L10" s="23">
        <f>SUM(L4:L9)</f>
        <v/>
      </c>
      <c r="M10" s="23">
        <f>SUM(M4:M9)</f>
        <v/>
      </c>
      <c r="N10" s="23">
        <f>SUM(N4:N9)</f>
        <v/>
      </c>
      <c r="O10" s="23">
        <f>SUM(O4:O9)</f>
        <v/>
      </c>
      <c r="P10" s="23">
        <f>SUM(P4:P9)</f>
        <v/>
      </c>
      <c r="Q10" s="23">
        <f>SUM(Q4:Q9)</f>
        <v/>
      </c>
      <c r="R10" s="23">
        <f>SUM(R4:R9)</f>
        <v/>
      </c>
      <c r="S10" s="23">
        <f>SUM(S4:S9)</f>
        <v/>
      </c>
      <c r="T10" s="23">
        <f>SUM(T4:T9)</f>
        <v/>
      </c>
      <c r="U10" s="23">
        <f>SUM(U4:U9)</f>
        <v/>
      </c>
      <c r="V10" s="23">
        <f>SUM(V4:V9)</f>
        <v/>
      </c>
      <c r="W10" s="23">
        <f>SUM(W4:W9)</f>
        <v/>
      </c>
      <c r="X10" s="23">
        <f>SUM(X4:X9)</f>
        <v/>
      </c>
      <c r="Y10" s="23">
        <f>SUM(Y4:Y9)</f>
        <v/>
      </c>
      <c r="Z10" s="23">
        <f>SUM(Z4:Z9)</f>
        <v/>
      </c>
      <c r="AA10" s="23">
        <f>SUM(AA4:AA9)</f>
        <v/>
      </c>
      <c r="AB10" s="23">
        <f>SUM(AB4:AB9)</f>
        <v/>
      </c>
      <c r="AC10" s="23">
        <f>SUM(AC4:AC9)</f>
        <v/>
      </c>
      <c r="AD10" s="23">
        <f>SUM(AD4:AD9)</f>
        <v/>
      </c>
      <c r="AE10" s="23">
        <f>SUM(AE4:AE9)</f>
        <v/>
      </c>
      <c r="AF10" s="23">
        <f>SUM(AF4:AF9)</f>
        <v/>
      </c>
      <c r="AG10" s="23">
        <f>SUM(AG4:AG9)</f>
        <v/>
      </c>
      <c r="AH10" s="23">
        <f>SUM(AH4:AH9)</f>
        <v/>
      </c>
      <c r="AI10" s="23">
        <f>SUM(AI4:AI9)</f>
        <v/>
      </c>
      <c r="AJ10" s="23">
        <f>SUM(AJ4:AJ9)</f>
        <v/>
      </c>
      <c r="AK10" s="23">
        <f>SUM(AK4:AK9)</f>
        <v/>
      </c>
      <c r="AL10" s="23">
        <f>SUM(AL4:AL9)</f>
        <v/>
      </c>
      <c r="AM10" s="23">
        <f>SUM(AM4:AM9)</f>
        <v/>
      </c>
      <c r="AN10" s="23">
        <f>SUM(AN4:AN9)</f>
        <v/>
      </c>
      <c r="AO10" s="23">
        <f>SUM(AO4:AO9)</f>
        <v/>
      </c>
      <c r="AP10" s="23">
        <f>SUM(AP4:AP9)</f>
        <v/>
      </c>
      <c r="AQ10" s="23">
        <f>SUM(AQ4:AQ9)</f>
        <v/>
      </c>
      <c r="AR10" s="23">
        <f>SUM(AR4:AR9)</f>
        <v/>
      </c>
      <c r="AS10" s="23">
        <f>SUM(AS4:AS9)</f>
        <v/>
      </c>
    </row>
  </sheetData>
  <mergeCells count="1">
    <mergeCell ref="A3:AS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1"/>
  <sheetViews>
    <sheetView zoomScaleNormal="100" workbookViewId="0">
      <pane xSplit="1" ySplit="2" topLeftCell="L3" activePane="bottomRight" state="frozen"/>
      <selection pane="topRight" activeCell="L1" sqref="L1"/>
      <selection pane="bottomLeft" activeCell="A3" sqref="A3"/>
      <selection pane="bottomRight" activeCell="S14" sqref="S14"/>
    </sheetView>
  </sheetViews>
  <sheetFormatPr baseColWidth="8" defaultColWidth="8.7109375" defaultRowHeight="15"/>
  <cols>
    <col width="28" customWidth="1" min="1" max="1"/>
    <col width="13" customWidth="1" min="2" max="45"/>
  </cols>
  <sheetData>
    <row r="1" ht="19.5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27.75" customHeight="1">
      <c r="B2" s="2" t="inlineStr">
        <is>
          <t>Marzo 2025</t>
        </is>
      </c>
      <c r="C2" s="2" t="inlineStr">
        <is>
          <t>Abril 2025</t>
        </is>
      </c>
      <c r="D2" s="2" t="inlineStr">
        <is>
          <t>Mayo 2025</t>
        </is>
      </c>
      <c r="E2" s="2" t="inlineStr">
        <is>
          <t>Junio 2025</t>
        </is>
      </c>
      <c r="F2" s="2" t="inlineStr">
        <is>
          <t>Julio 2025</t>
        </is>
      </c>
      <c r="G2" s="2" t="inlineStr">
        <is>
          <t>Agosto 2025</t>
        </is>
      </c>
      <c r="H2" s="2" t="inlineStr">
        <is>
          <t>Septiembre 2025</t>
        </is>
      </c>
      <c r="I2" s="2" t="inlineStr">
        <is>
          <t>Octubre 2025</t>
        </is>
      </c>
      <c r="J2" s="2" t="inlineStr">
        <is>
          <t>Noviembre 2025</t>
        </is>
      </c>
      <c r="K2" s="2" t="inlineStr">
        <is>
          <t>Diciembre 2025</t>
        </is>
      </c>
      <c r="L2" s="2" t="inlineStr">
        <is>
          <t>Enero 2026</t>
        </is>
      </c>
      <c r="M2" s="2" t="inlineStr">
        <is>
          <t>Febrero 2026</t>
        </is>
      </c>
      <c r="N2" s="2" t="inlineStr">
        <is>
          <t>Marzo 2026</t>
        </is>
      </c>
      <c r="O2" s="2" t="inlineStr">
        <is>
          <t>Abril 2026</t>
        </is>
      </c>
      <c r="P2" s="2" t="inlineStr">
        <is>
          <t>Mayo 2026</t>
        </is>
      </c>
      <c r="Q2" s="2" t="inlineStr">
        <is>
          <t>Junio 2026</t>
        </is>
      </c>
      <c r="R2" s="2" t="inlineStr">
        <is>
          <t>Julio 2026</t>
        </is>
      </c>
      <c r="S2" s="2" t="inlineStr">
        <is>
          <t>Agosto 2026</t>
        </is>
      </c>
      <c r="T2" s="2" t="inlineStr">
        <is>
          <t>Septiembre 2026</t>
        </is>
      </c>
      <c r="U2" s="2" t="inlineStr">
        <is>
          <t>Octubre 2026</t>
        </is>
      </c>
      <c r="V2" s="2" t="inlineStr">
        <is>
          <t>Noviembre 2026</t>
        </is>
      </c>
      <c r="W2" s="2" t="inlineStr">
        <is>
          <t>Diciembre 2026</t>
        </is>
      </c>
      <c r="X2" s="2" t="inlineStr">
        <is>
          <t>Enero 2027</t>
        </is>
      </c>
      <c r="Y2" s="2" t="inlineStr">
        <is>
          <t>Febrero 2027</t>
        </is>
      </c>
      <c r="Z2" s="2" t="inlineStr">
        <is>
          <t>Marzo 2027</t>
        </is>
      </c>
      <c r="AA2" s="2" t="inlineStr">
        <is>
          <t>Abril 2027</t>
        </is>
      </c>
      <c r="AB2" s="2" t="inlineStr">
        <is>
          <t>Mayo 2027</t>
        </is>
      </c>
      <c r="AC2" s="2" t="inlineStr">
        <is>
          <t>Junio 2027</t>
        </is>
      </c>
      <c r="AD2" s="2" t="inlineStr">
        <is>
          <t>Julio 2027</t>
        </is>
      </c>
      <c r="AE2" s="2" t="inlineStr">
        <is>
          <t>Agosto 2027</t>
        </is>
      </c>
      <c r="AF2" s="2" t="inlineStr">
        <is>
          <t>Septiembre 2027</t>
        </is>
      </c>
      <c r="AG2" s="2" t="inlineStr">
        <is>
          <t>Octubre 2027</t>
        </is>
      </c>
      <c r="AH2" s="2" t="inlineStr">
        <is>
          <t>Noviembre 2027</t>
        </is>
      </c>
      <c r="AI2" s="2" t="inlineStr">
        <is>
          <t>Diciembre 2027</t>
        </is>
      </c>
      <c r="AJ2" s="2" t="inlineStr">
        <is>
          <t>Enero 2028</t>
        </is>
      </c>
      <c r="AK2" s="2" t="inlineStr">
        <is>
          <t>Febrero 2028</t>
        </is>
      </c>
      <c r="AL2" s="2" t="inlineStr">
        <is>
          <t>Marzo 2028</t>
        </is>
      </c>
      <c r="AM2" s="2" t="inlineStr">
        <is>
          <t>Abril 2028</t>
        </is>
      </c>
      <c r="AN2" s="2" t="inlineStr">
        <is>
          <t>Mayo 2028</t>
        </is>
      </c>
      <c r="AO2" s="2" t="inlineStr">
        <is>
          <t>Junio 2028</t>
        </is>
      </c>
      <c r="AP2" s="2" t="inlineStr">
        <is>
          <t>Julio 2028</t>
        </is>
      </c>
      <c r="AQ2" s="2" t="inlineStr">
        <is>
          <t>Agosto 2028</t>
        </is>
      </c>
      <c r="AR2" s="2" t="inlineStr">
        <is>
          <t>Septiembre 2028</t>
        </is>
      </c>
      <c r="AS2" s="2" t="inlineStr">
        <is>
          <t>Octubre 2028</t>
        </is>
      </c>
    </row>
    <row r="3" ht="19.5" customHeight="1">
      <c r="A3" s="33" t="inlineStr">
        <is>
          <t>🏠 GASTOS DEL HOGAR</t>
        </is>
      </c>
    </row>
    <row r="4" ht="18" customHeight="1">
      <c r="A4" s="24" t="inlineStr">
        <is>
          <t>Internet</t>
        </is>
      </c>
      <c r="B4" s="8" t="n">
        <v>0</v>
      </c>
      <c r="C4" s="8" t="n">
        <v>0</v>
      </c>
      <c r="D4" s="8" t="n">
        <v>0</v>
      </c>
      <c r="E4" s="8" t="n">
        <v>-24000</v>
      </c>
      <c r="F4" s="8" t="n">
        <v>-24000</v>
      </c>
      <c r="G4" s="8" t="n">
        <v>-31200</v>
      </c>
      <c r="H4" s="8" t="n">
        <v>-58500</v>
      </c>
      <c r="I4" s="8" t="n">
        <v>-31200</v>
      </c>
      <c r="J4" s="8" t="n">
        <v>-31200</v>
      </c>
      <c r="K4" s="8" t="n">
        <v>-32500</v>
      </c>
      <c r="L4" s="8" t="n">
        <v>-35000</v>
      </c>
      <c r="M4" s="8" t="n">
        <v>-35000</v>
      </c>
      <c r="N4" s="8" t="n">
        <v>-35000</v>
      </c>
      <c r="O4" s="8" t="n">
        <v>-35000</v>
      </c>
      <c r="P4" s="8" t="n">
        <v>-35000</v>
      </c>
      <c r="Q4" s="8" t="n">
        <v>0</v>
      </c>
      <c r="R4" s="8" t="n">
        <v>-35000</v>
      </c>
      <c r="S4" s="8" t="n">
        <v>-35000</v>
      </c>
      <c r="T4" s="8" t="n">
        <v>-35000</v>
      </c>
      <c r="U4" s="8" t="n">
        <v>-35000</v>
      </c>
      <c r="V4" s="8" t="n">
        <v>-35000</v>
      </c>
      <c r="W4" s="8" t="n">
        <v>-35000</v>
      </c>
      <c r="X4" s="8" t="n">
        <v>-35000</v>
      </c>
      <c r="Y4" s="8" t="n">
        <v>0</v>
      </c>
      <c r="Z4" s="8" t="n">
        <v>0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  <c r="AK4" s="8" t="n">
        <v>0</v>
      </c>
      <c r="AL4" s="8" t="n">
        <v>0</v>
      </c>
      <c r="AM4" s="8" t="n">
        <v>0</v>
      </c>
      <c r="AN4" s="8" t="n">
        <v>0</v>
      </c>
      <c r="AO4" s="8" t="n">
        <v>0</v>
      </c>
      <c r="AP4" s="8" t="n">
        <v>0</v>
      </c>
      <c r="AQ4" s="8" t="n">
        <v>0</v>
      </c>
      <c r="AR4" s="8" t="n">
        <v>0</v>
      </c>
      <c r="AS4" s="8" t="n">
        <v>0</v>
      </c>
    </row>
    <row r="5" ht="18" customHeight="1">
      <c r="A5" s="24" t="inlineStr">
        <is>
          <t>Expensas</t>
        </is>
      </c>
      <c r="B5" s="8" t="n">
        <v>0</v>
      </c>
      <c r="C5" s="8" t="n">
        <v>0</v>
      </c>
      <c r="D5" s="8" t="n">
        <v>0</v>
      </c>
      <c r="E5" s="8" t="n">
        <v>0</v>
      </c>
      <c r="F5" s="8" t="n">
        <v>-223000</v>
      </c>
      <c r="G5" s="8" t="n">
        <v>-200000</v>
      </c>
      <c r="H5" s="8" t="n">
        <v>-161000</v>
      </c>
      <c r="I5" s="8" t="n">
        <v>-200000</v>
      </c>
      <c r="J5" s="8" t="n">
        <v>-206100</v>
      </c>
      <c r="K5" s="8" t="n">
        <v>-200000</v>
      </c>
      <c r="L5" s="8" t="n">
        <v>-200000</v>
      </c>
      <c r="M5" s="8" t="n">
        <v>-220000</v>
      </c>
      <c r="N5" s="8" t="n">
        <v>-220000</v>
      </c>
      <c r="O5" s="8" t="n">
        <v>-170000</v>
      </c>
      <c r="P5" s="8" t="n">
        <v>-170000</v>
      </c>
      <c r="Q5" s="8" t="n">
        <v>-170000</v>
      </c>
      <c r="R5" s="8" t="n">
        <v>-170000</v>
      </c>
      <c r="S5" s="8" t="n">
        <v>-200000</v>
      </c>
      <c r="T5" s="8" t="n">
        <v>-200000</v>
      </c>
      <c r="U5" s="8" t="n">
        <v>-200000</v>
      </c>
      <c r="V5" s="8" t="n">
        <v>-200000</v>
      </c>
      <c r="W5" s="8" t="n">
        <v>-200000</v>
      </c>
      <c r="X5" s="8" t="n">
        <v>-220000</v>
      </c>
      <c r="Y5" s="8" t="n">
        <v>0</v>
      </c>
      <c r="Z5" s="8" t="n">
        <v>0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  <c r="AK5" s="8" t="n">
        <v>0</v>
      </c>
      <c r="AL5" s="8" t="n">
        <v>0</v>
      </c>
      <c r="AM5" s="8" t="n">
        <v>0</v>
      </c>
      <c r="AN5" s="8" t="n">
        <v>0</v>
      </c>
      <c r="AO5" s="8" t="n">
        <v>0</v>
      </c>
      <c r="AP5" s="8" t="n">
        <v>0</v>
      </c>
      <c r="AQ5" s="8" t="n">
        <v>0</v>
      </c>
      <c r="AR5" s="8" t="n">
        <v>0</v>
      </c>
      <c r="AS5" s="8" t="n">
        <v>0</v>
      </c>
    </row>
    <row r="6" ht="18" customHeight="1">
      <c r="A6" s="24" t="inlineStr">
        <is>
          <t>Electricidad</t>
        </is>
      </c>
      <c r="B6" s="8" t="n">
        <v>0</v>
      </c>
      <c r="C6" s="8" t="n">
        <v>0</v>
      </c>
      <c r="D6" s="8" t="n">
        <v>0</v>
      </c>
      <c r="E6" s="8" t="n">
        <v>0</v>
      </c>
      <c r="F6" s="8" t="n">
        <v>0</v>
      </c>
      <c r="G6" s="8" t="n">
        <v>0</v>
      </c>
      <c r="H6" s="8" t="n">
        <v>-136300</v>
      </c>
      <c r="I6" s="8" t="n">
        <v>-97000</v>
      </c>
      <c r="J6" s="8" t="n">
        <v>-79000</v>
      </c>
      <c r="K6" s="8" t="n">
        <v>-100000</v>
      </c>
      <c r="L6" s="8" t="n">
        <v>-87000</v>
      </c>
      <c r="M6" s="8" t="n">
        <v>-89000</v>
      </c>
      <c r="N6" s="8" t="n">
        <v>-100000</v>
      </c>
      <c r="O6" s="8" t="n">
        <v>-98000</v>
      </c>
      <c r="P6" s="8" t="n">
        <v>-109000</v>
      </c>
      <c r="Q6" s="8" t="n">
        <v>-110000</v>
      </c>
      <c r="R6" s="8" t="n">
        <v>-110000</v>
      </c>
      <c r="S6" s="8" t="n">
        <v>-110000</v>
      </c>
      <c r="T6" s="8" t="n">
        <v>-110000</v>
      </c>
      <c r="U6" s="8" t="n">
        <v>-110000</v>
      </c>
      <c r="V6" s="8" t="n">
        <v>-110000</v>
      </c>
      <c r="W6" s="8" t="n">
        <v>-110000</v>
      </c>
      <c r="X6" s="8" t="n">
        <v>-110000</v>
      </c>
      <c r="Y6" s="8" t="n">
        <v>0</v>
      </c>
      <c r="Z6" s="8" t="n">
        <v>0</v>
      </c>
      <c r="AA6" s="8" t="n">
        <v>0</v>
      </c>
      <c r="AB6" s="8" t="n">
        <v>0</v>
      </c>
      <c r="AC6" s="8" t="n">
        <v>0</v>
      </c>
      <c r="AD6" s="8" t="n">
        <v>0</v>
      </c>
      <c r="AE6" s="8" t="n">
        <v>0</v>
      </c>
      <c r="AF6" s="8" t="n">
        <v>0</v>
      </c>
      <c r="AG6" s="8" t="n">
        <v>0</v>
      </c>
      <c r="AH6" s="8" t="n">
        <v>0</v>
      </c>
      <c r="AI6" s="8" t="n">
        <v>0</v>
      </c>
      <c r="AJ6" s="8" t="n">
        <v>0</v>
      </c>
      <c r="AK6" s="8" t="n">
        <v>0</v>
      </c>
      <c r="AL6" s="8" t="n">
        <v>0</v>
      </c>
      <c r="AM6" s="8" t="n">
        <v>0</v>
      </c>
      <c r="AN6" s="8" t="n">
        <v>0</v>
      </c>
      <c r="AO6" s="8" t="n">
        <v>0</v>
      </c>
      <c r="AP6" s="8" t="n">
        <v>0</v>
      </c>
      <c r="AQ6" s="8" t="n">
        <v>0</v>
      </c>
      <c r="AR6" s="8" t="n">
        <v>0</v>
      </c>
      <c r="AS6" s="8" t="n">
        <v>0</v>
      </c>
    </row>
    <row r="7" ht="18" customHeight="1">
      <c r="A7" s="24" t="inlineStr">
        <is>
          <t>Cuenta Corriente</t>
        </is>
      </c>
      <c r="B7" s="8" t="n">
        <v>0</v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0</v>
      </c>
      <c r="H7" s="8" t="n">
        <v>-75000</v>
      </c>
      <c r="I7" s="8" t="n">
        <v>-70000</v>
      </c>
      <c r="J7" s="8" t="n">
        <v>-75000</v>
      </c>
      <c r="K7" s="8" t="n">
        <v>-100000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8" t="n">
        <v>0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  <c r="AK7" s="8" t="n">
        <v>0</v>
      </c>
      <c r="AL7" s="8" t="n">
        <v>0</v>
      </c>
      <c r="AM7" s="8" t="n">
        <v>0</v>
      </c>
      <c r="AN7" s="8" t="n">
        <v>0</v>
      </c>
      <c r="AO7" s="8" t="n">
        <v>0</v>
      </c>
      <c r="AP7" s="8" t="n">
        <v>0</v>
      </c>
      <c r="AQ7" s="8" t="n">
        <v>0</v>
      </c>
      <c r="AR7" s="8" t="n">
        <v>0</v>
      </c>
      <c r="AS7" s="8" t="n">
        <v>0</v>
      </c>
    </row>
    <row r="8" ht="18" customHeight="1">
      <c r="A8" s="24" t="inlineStr">
        <is>
          <t>Línea Celular</t>
        </is>
      </c>
      <c r="B8" s="8" t="n">
        <v>0</v>
      </c>
      <c r="C8" s="8" t="n">
        <v>0</v>
      </c>
      <c r="D8" s="8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-21000</v>
      </c>
      <c r="J8" s="8" t="n">
        <v>-18000</v>
      </c>
      <c r="K8" s="8" t="n">
        <v>-18000</v>
      </c>
      <c r="L8" s="8" t="n">
        <v>-18000</v>
      </c>
      <c r="M8" s="8" t="n">
        <v>-20000</v>
      </c>
      <c r="N8" s="8" t="n">
        <v>-22000</v>
      </c>
      <c r="O8" s="8" t="n">
        <v>-21000</v>
      </c>
      <c r="P8" s="8" t="n">
        <v>-21000</v>
      </c>
      <c r="Q8" s="8" t="n">
        <v>-27880</v>
      </c>
      <c r="R8" s="8" t="n">
        <v>-27880</v>
      </c>
      <c r="S8" s="8" t="n">
        <v>-27880</v>
      </c>
      <c r="T8" s="8" t="n">
        <v>-27880</v>
      </c>
      <c r="U8" s="8" t="n">
        <v>-27880</v>
      </c>
      <c r="V8" s="8" t="n">
        <v>-27880</v>
      </c>
      <c r="W8" s="8" t="n">
        <v>-27880</v>
      </c>
      <c r="X8" s="8" t="n">
        <v>-22000</v>
      </c>
      <c r="Y8" s="8" t="n">
        <v>0</v>
      </c>
      <c r="Z8" s="8" t="n">
        <v>0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  <c r="AK8" s="8" t="n">
        <v>0</v>
      </c>
      <c r="AL8" s="8" t="n">
        <v>0</v>
      </c>
      <c r="AM8" s="8" t="n">
        <v>0</v>
      </c>
      <c r="AN8" s="8" t="n">
        <v>0</v>
      </c>
      <c r="AO8" s="8" t="n">
        <v>0</v>
      </c>
      <c r="AP8" s="8" t="n">
        <v>0</v>
      </c>
      <c r="AQ8" s="8" t="n">
        <v>0</v>
      </c>
      <c r="AR8" s="8" t="n">
        <v>0</v>
      </c>
      <c r="AS8" s="8" t="n">
        <v>0</v>
      </c>
    </row>
    <row r="9" ht="18" customHeight="1">
      <c r="A9" s="24" t="inlineStr">
        <is>
          <t>Transporte</t>
        </is>
      </c>
      <c r="B9" s="8" t="n">
        <v>0</v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-89600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8" t="n">
        <v>0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  <c r="AK9" s="8" t="n">
        <v>0</v>
      </c>
      <c r="AL9" s="8" t="n">
        <v>0</v>
      </c>
      <c r="AM9" s="8" t="n">
        <v>0</v>
      </c>
      <c r="AN9" s="8" t="n">
        <v>0</v>
      </c>
      <c r="AO9" s="8" t="n">
        <v>0</v>
      </c>
      <c r="AP9" s="8" t="n">
        <v>0</v>
      </c>
      <c r="AQ9" s="8" t="n">
        <v>0</v>
      </c>
      <c r="AR9" s="8" t="n">
        <v>0</v>
      </c>
      <c r="AS9" s="8" t="n">
        <v>0</v>
      </c>
    </row>
    <row r="10" ht="18" customHeight="1">
      <c r="A10" s="24" t="inlineStr">
        <is>
          <t>Impuesto Municipal</t>
        </is>
      </c>
      <c r="B10" s="8" t="n">
        <v>0</v>
      </c>
      <c r="C10" s="8" t="n">
        <v>0</v>
      </c>
      <c r="D10" s="8" t="n">
        <v>0</v>
      </c>
      <c r="E10" s="8" t="n">
        <v>0</v>
      </c>
      <c r="F10" s="8" t="n">
        <v>0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-55804</v>
      </c>
      <c r="O10" s="8" t="n">
        <v>-18601.26</v>
      </c>
      <c r="P10" s="8" t="n">
        <v>-18601.26</v>
      </c>
      <c r="Q10" s="8" t="n">
        <v>-18601.26</v>
      </c>
      <c r="R10" s="8" t="n">
        <v>-18601.26</v>
      </c>
      <c r="S10" s="8" t="n">
        <v>-18601.26</v>
      </c>
      <c r="T10" s="8" t="n">
        <v>-18601.26</v>
      </c>
      <c r="U10" s="8" t="n">
        <v>-18601.26</v>
      </c>
      <c r="V10" s="8" t="n">
        <v>-18601.26</v>
      </c>
      <c r="W10" s="8" t="n">
        <v>-18601.26</v>
      </c>
      <c r="X10" s="8" t="n">
        <v>-18601.26</v>
      </c>
      <c r="Y10" s="8" t="n">
        <v>0</v>
      </c>
      <c r="Z10" s="8" t="n">
        <v>0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  <c r="AK10" s="8" t="n">
        <v>0</v>
      </c>
      <c r="AL10" s="8" t="n">
        <v>0</v>
      </c>
      <c r="AM10" s="8" t="n">
        <v>0</v>
      </c>
      <c r="AN10" s="8" t="n">
        <v>0</v>
      </c>
      <c r="AO10" s="8" t="n">
        <v>0</v>
      </c>
      <c r="AP10" s="8" t="n">
        <v>0</v>
      </c>
      <c r="AQ10" s="8" t="n">
        <v>0</v>
      </c>
      <c r="AR10" s="8" t="n">
        <v>0</v>
      </c>
      <c r="AS10" s="8" t="n">
        <v>0</v>
      </c>
    </row>
    <row r="11">
      <c r="A11" s="25" t="inlineStr">
        <is>
          <t>TOTAL</t>
        </is>
      </c>
      <c r="B11" s="26">
        <f>SUM(B4:B10)</f>
        <v/>
      </c>
      <c r="C11" s="26">
        <f>SUM(C4:C10)</f>
        <v/>
      </c>
      <c r="D11" s="26">
        <f>SUM(D4:D10)</f>
        <v/>
      </c>
      <c r="E11" s="26">
        <f>SUM(E4:E10)</f>
        <v/>
      </c>
      <c r="F11" s="26">
        <f>SUM(F4:F10)</f>
        <v/>
      </c>
      <c r="G11" s="26">
        <f>SUM(G4:G10)</f>
        <v/>
      </c>
      <c r="H11" s="26">
        <f>SUM(H4:H10)</f>
        <v/>
      </c>
      <c r="I11" s="26">
        <f>SUM(I4:I10)</f>
        <v/>
      </c>
      <c r="J11" s="26">
        <f>SUM(J4:J10)</f>
        <v/>
      </c>
      <c r="K11" s="26">
        <f>SUM(K4:K10)</f>
        <v/>
      </c>
      <c r="L11" s="26">
        <f>SUM(L4:L10)</f>
        <v/>
      </c>
      <c r="M11" s="26">
        <f>SUM(M4:M10)</f>
        <v/>
      </c>
      <c r="N11" s="26">
        <f>SUM(N4:N10)</f>
        <v/>
      </c>
      <c r="O11" s="26">
        <f>SUM(O4:O10)</f>
        <v/>
      </c>
      <c r="P11" s="26">
        <f>SUM(P4:P10)</f>
        <v/>
      </c>
      <c r="Q11" s="26">
        <f>SUM(Q4:Q10)</f>
        <v/>
      </c>
      <c r="R11" s="26">
        <f>SUM(R4:R10)</f>
        <v/>
      </c>
      <c r="S11" s="26">
        <f>SUM(S4:S10)</f>
        <v/>
      </c>
      <c r="T11" s="26">
        <f>SUM(T4:T10)</f>
        <v/>
      </c>
      <c r="U11" s="26">
        <f>SUM(U4:U10)</f>
        <v/>
      </c>
      <c r="V11" s="26">
        <f>SUM(V4:V10)</f>
        <v/>
      </c>
      <c r="W11" s="26">
        <f>SUM(W4:W10)</f>
        <v/>
      </c>
      <c r="X11" s="26">
        <f>SUM(X4:X10)</f>
        <v/>
      </c>
      <c r="Y11" s="26">
        <f>SUM(Y4:Y10)</f>
        <v/>
      </c>
      <c r="Z11" s="26">
        <f>SUM(Z4:Z10)</f>
        <v/>
      </c>
      <c r="AA11" s="26">
        <f>SUM(AA4:AA10)</f>
        <v/>
      </c>
      <c r="AB11" s="26">
        <f>SUM(AB4:AB10)</f>
        <v/>
      </c>
      <c r="AC11" s="26">
        <f>SUM(AC4:AC10)</f>
        <v/>
      </c>
      <c r="AD11" s="26">
        <f>SUM(AD4:AD10)</f>
        <v/>
      </c>
      <c r="AE11" s="26">
        <f>SUM(AE4:AE10)</f>
        <v/>
      </c>
      <c r="AF11" s="26">
        <f>SUM(AF4:AF10)</f>
        <v/>
      </c>
      <c r="AG11" s="26">
        <f>SUM(AG4:AG10)</f>
        <v/>
      </c>
      <c r="AH11" s="26">
        <f>SUM(AH4:AH10)</f>
        <v/>
      </c>
      <c r="AI11" s="26">
        <f>SUM(AI4:AI10)</f>
        <v/>
      </c>
      <c r="AJ11" s="26">
        <f>SUM(AJ4:AJ10)</f>
        <v/>
      </c>
      <c r="AK11" s="26">
        <f>SUM(AK4:AK10)</f>
        <v/>
      </c>
      <c r="AL11" s="26">
        <f>SUM(AL4:AL10)</f>
        <v/>
      </c>
      <c r="AM11" s="26">
        <f>SUM(AM4:AM10)</f>
        <v/>
      </c>
      <c r="AN11" s="26">
        <f>SUM(AN4:AN10)</f>
        <v/>
      </c>
      <c r="AO11" s="26">
        <f>SUM(AO4:AO10)</f>
        <v/>
      </c>
      <c r="AP11" s="26">
        <f>SUM(AP4:AP10)</f>
        <v/>
      </c>
      <c r="AQ11" s="26">
        <f>SUM(AQ4:AQ10)</f>
        <v/>
      </c>
      <c r="AR11" s="26">
        <f>SUM(AR4:AR10)</f>
        <v/>
      </c>
      <c r="AS11" s="26">
        <f>SUM(AS4:AS10)</f>
        <v/>
      </c>
    </row>
  </sheetData>
  <mergeCells count="1">
    <mergeCell ref="A3:AS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S13"/>
  <sheetViews>
    <sheetView zoomScaleNormal="100" workbookViewId="0">
      <pane xSplit="1" ySplit="2" topLeftCell="O3" activePane="bottomRight" state="frozen"/>
      <selection pane="topRight" activeCell="O1" sqref="O1"/>
      <selection pane="bottomLeft" activeCell="A3" sqref="A3"/>
      <selection pane="bottomRight" activeCell="Z6" sqref="Z6"/>
    </sheetView>
  </sheetViews>
  <sheetFormatPr baseColWidth="8" defaultColWidth="8.7109375" defaultRowHeight="15"/>
  <cols>
    <col width="28" customWidth="1" min="1" max="1"/>
    <col width="13" customWidth="1" min="2" max="45"/>
  </cols>
  <sheetData>
    <row r="1" ht="19.5" customHeight="1">
      <c r="B1" s="1" t="inlineStr">
        <is>
          <t>2025</t>
        </is>
      </c>
      <c r="C1" s="1" t="inlineStr">
        <is>
          <t>2025</t>
        </is>
      </c>
      <c r="D1" s="1" t="inlineStr">
        <is>
          <t>2025</t>
        </is>
      </c>
      <c r="E1" s="1" t="inlineStr">
        <is>
          <t>2025</t>
        </is>
      </c>
      <c r="F1" s="1" t="inlineStr">
        <is>
          <t>2025</t>
        </is>
      </c>
      <c r="G1" s="1" t="inlineStr">
        <is>
          <t>2025</t>
        </is>
      </c>
      <c r="H1" s="1" t="inlineStr">
        <is>
          <t>2025</t>
        </is>
      </c>
      <c r="I1" s="1" t="inlineStr">
        <is>
          <t>2025</t>
        </is>
      </c>
      <c r="J1" s="1" t="inlineStr">
        <is>
          <t>2025</t>
        </is>
      </c>
      <c r="K1" s="1" t="inlineStr">
        <is>
          <t>2025</t>
        </is>
      </c>
      <c r="L1" s="1" t="inlineStr">
        <is>
          <t>2026</t>
        </is>
      </c>
      <c r="M1" s="1" t="inlineStr">
        <is>
          <t>2026</t>
        </is>
      </c>
      <c r="N1" s="1" t="inlineStr">
        <is>
          <t>2026</t>
        </is>
      </c>
      <c r="O1" s="1" t="inlineStr">
        <is>
          <t>2026</t>
        </is>
      </c>
      <c r="P1" s="1" t="inlineStr">
        <is>
          <t>2026</t>
        </is>
      </c>
      <c r="Q1" s="1" t="inlineStr">
        <is>
          <t>2026</t>
        </is>
      </c>
      <c r="R1" s="1" t="inlineStr">
        <is>
          <t>2026</t>
        </is>
      </c>
      <c r="S1" s="1" t="inlineStr">
        <is>
          <t>2026</t>
        </is>
      </c>
      <c r="T1" s="1" t="inlineStr">
        <is>
          <t>2026</t>
        </is>
      </c>
      <c r="U1" s="1" t="inlineStr">
        <is>
          <t>2026</t>
        </is>
      </c>
      <c r="V1" s="1" t="inlineStr">
        <is>
          <t>2026</t>
        </is>
      </c>
      <c r="W1" s="1" t="inlineStr">
        <is>
          <t>2026</t>
        </is>
      </c>
      <c r="X1" s="1" t="inlineStr">
        <is>
          <t>2027</t>
        </is>
      </c>
      <c r="Y1" s="1" t="inlineStr">
        <is>
          <t>2027</t>
        </is>
      </c>
      <c r="Z1" s="1" t="inlineStr">
        <is>
          <t>2027</t>
        </is>
      </c>
      <c r="AA1" s="1" t="inlineStr">
        <is>
          <t>2027</t>
        </is>
      </c>
      <c r="AB1" s="1" t="inlineStr">
        <is>
          <t>2027</t>
        </is>
      </c>
      <c r="AC1" s="1" t="inlineStr">
        <is>
          <t>2027</t>
        </is>
      </c>
      <c r="AD1" s="1" t="inlineStr">
        <is>
          <t>2027</t>
        </is>
      </c>
      <c r="AE1" s="1" t="inlineStr">
        <is>
          <t>2027</t>
        </is>
      </c>
      <c r="AF1" s="1" t="inlineStr">
        <is>
          <t>2027</t>
        </is>
      </c>
      <c r="AG1" s="1" t="inlineStr">
        <is>
          <t>2027</t>
        </is>
      </c>
      <c r="AH1" s="1" t="inlineStr">
        <is>
          <t>2027</t>
        </is>
      </c>
      <c r="AI1" s="1" t="inlineStr">
        <is>
          <t>2027</t>
        </is>
      </c>
      <c r="AJ1" s="1" t="inlineStr">
        <is>
          <t>2028</t>
        </is>
      </c>
      <c r="AK1" s="1" t="inlineStr">
        <is>
          <t>2028</t>
        </is>
      </c>
      <c r="AL1" s="1" t="inlineStr">
        <is>
          <t>2028</t>
        </is>
      </c>
      <c r="AM1" s="1" t="inlineStr">
        <is>
          <t>2028</t>
        </is>
      </c>
      <c r="AN1" s="1" t="inlineStr">
        <is>
          <t>2028</t>
        </is>
      </c>
      <c r="AO1" s="1" t="inlineStr">
        <is>
          <t>2028</t>
        </is>
      </c>
      <c r="AP1" s="1" t="inlineStr">
        <is>
          <t>2028</t>
        </is>
      </c>
      <c r="AQ1" s="1" t="inlineStr">
        <is>
          <t>2028</t>
        </is>
      </c>
      <c r="AR1" s="1" t="inlineStr">
        <is>
          <t>2028</t>
        </is>
      </c>
      <c r="AS1" s="1" t="inlineStr">
        <is>
          <t>2028</t>
        </is>
      </c>
    </row>
    <row r="2" ht="27.75" customHeight="1">
      <c r="B2" s="2" t="inlineStr">
        <is>
          <t>Marzo 2025</t>
        </is>
      </c>
      <c r="C2" s="2" t="inlineStr">
        <is>
          <t>Abril 2025</t>
        </is>
      </c>
      <c r="D2" s="2" t="inlineStr">
        <is>
          <t>Mayo 2025</t>
        </is>
      </c>
      <c r="E2" s="2" t="inlineStr">
        <is>
          <t>Junio 2025</t>
        </is>
      </c>
      <c r="F2" s="2" t="inlineStr">
        <is>
          <t>Julio 2025</t>
        </is>
      </c>
      <c r="G2" s="2" t="inlineStr">
        <is>
          <t>Agosto 2025</t>
        </is>
      </c>
      <c r="H2" s="2" t="inlineStr">
        <is>
          <t>Septiembre 2025</t>
        </is>
      </c>
      <c r="I2" s="2" t="inlineStr">
        <is>
          <t>Octubre 2025</t>
        </is>
      </c>
      <c r="J2" s="2" t="inlineStr">
        <is>
          <t>Noviembre 2025</t>
        </is>
      </c>
      <c r="K2" s="2" t="inlineStr">
        <is>
          <t>Diciembre 2025</t>
        </is>
      </c>
      <c r="L2" s="2" t="inlineStr">
        <is>
          <t>Enero 2026</t>
        </is>
      </c>
      <c r="M2" s="2" t="inlineStr">
        <is>
          <t>Febrero 2026</t>
        </is>
      </c>
      <c r="N2" s="2" t="inlineStr">
        <is>
          <t>Marzo 2026</t>
        </is>
      </c>
      <c r="O2" s="2" t="inlineStr">
        <is>
          <t>Abril 2026</t>
        </is>
      </c>
      <c r="P2" s="2" t="inlineStr">
        <is>
          <t>Mayo 2026</t>
        </is>
      </c>
      <c r="Q2" s="2" t="inlineStr">
        <is>
          <t>Junio 2026</t>
        </is>
      </c>
      <c r="R2" s="2" t="inlineStr">
        <is>
          <t>Julio 2026</t>
        </is>
      </c>
      <c r="S2" s="2" t="inlineStr">
        <is>
          <t>Agosto 2026</t>
        </is>
      </c>
      <c r="T2" s="2" t="inlineStr">
        <is>
          <t>Septiembre 2026</t>
        </is>
      </c>
      <c r="U2" s="2" t="inlineStr">
        <is>
          <t>Octubre 2026</t>
        </is>
      </c>
      <c r="V2" s="2" t="inlineStr">
        <is>
          <t>Noviembre 2026</t>
        </is>
      </c>
      <c r="W2" s="2" t="inlineStr">
        <is>
          <t>Diciembre 2026</t>
        </is>
      </c>
      <c r="X2" s="2" t="inlineStr">
        <is>
          <t>Enero 2027</t>
        </is>
      </c>
      <c r="Y2" s="2" t="inlineStr">
        <is>
          <t>Febrero 2027</t>
        </is>
      </c>
      <c r="Z2" s="2" t="inlineStr">
        <is>
          <t>Marzo 2027</t>
        </is>
      </c>
      <c r="AA2" s="2" t="inlineStr">
        <is>
          <t>Abril 2027</t>
        </is>
      </c>
      <c r="AB2" s="2" t="inlineStr">
        <is>
          <t>Mayo 2027</t>
        </is>
      </c>
      <c r="AC2" s="2" t="inlineStr">
        <is>
          <t>Junio 2027</t>
        </is>
      </c>
      <c r="AD2" s="2" t="inlineStr">
        <is>
          <t>Julio 2027</t>
        </is>
      </c>
      <c r="AE2" s="2" t="inlineStr">
        <is>
          <t>Agosto 2027</t>
        </is>
      </c>
      <c r="AF2" s="2" t="inlineStr">
        <is>
          <t>Septiembre 2027</t>
        </is>
      </c>
      <c r="AG2" s="2" t="inlineStr">
        <is>
          <t>Octubre 2027</t>
        </is>
      </c>
      <c r="AH2" s="2" t="inlineStr">
        <is>
          <t>Noviembre 2027</t>
        </is>
      </c>
      <c r="AI2" s="2" t="inlineStr">
        <is>
          <t>Diciembre 2027</t>
        </is>
      </c>
      <c r="AJ2" s="2" t="inlineStr">
        <is>
          <t>Enero 2028</t>
        </is>
      </c>
      <c r="AK2" s="2" t="inlineStr">
        <is>
          <t>Febrero 2028</t>
        </is>
      </c>
      <c r="AL2" s="2" t="inlineStr">
        <is>
          <t>Marzo 2028</t>
        </is>
      </c>
      <c r="AM2" s="2" t="inlineStr">
        <is>
          <t>Abril 2028</t>
        </is>
      </c>
      <c r="AN2" s="2" t="inlineStr">
        <is>
          <t>Mayo 2028</t>
        </is>
      </c>
      <c r="AO2" s="2" t="inlineStr">
        <is>
          <t>Junio 2028</t>
        </is>
      </c>
      <c r="AP2" s="2" t="inlineStr">
        <is>
          <t>Julio 2028</t>
        </is>
      </c>
      <c r="AQ2" s="2" t="inlineStr">
        <is>
          <t>Agosto 2028</t>
        </is>
      </c>
      <c r="AR2" s="2" t="inlineStr">
        <is>
          <t>Septiembre 2028</t>
        </is>
      </c>
      <c r="AS2" s="2" t="inlineStr">
        <is>
          <t>Octubre 2028</t>
        </is>
      </c>
    </row>
    <row r="3" ht="19.5" customHeight="1">
      <c r="A3" s="34" t="inlineStr">
        <is>
          <t>📋 DEUDAS &amp; GASTOS VARIOS</t>
        </is>
      </c>
    </row>
    <row r="4" ht="18" customHeight="1">
      <c r="A4" s="27" t="inlineStr">
        <is>
          <t>Papá</t>
        </is>
      </c>
      <c r="B4" s="10" t="n">
        <v>0</v>
      </c>
      <c r="C4" s="10" t="n">
        <v>0</v>
      </c>
      <c r="D4" s="10" t="n">
        <v>0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10" t="n">
        <v>-50000</v>
      </c>
      <c r="L4" s="10" t="n">
        <v>0</v>
      </c>
      <c r="M4" s="10" t="n">
        <v>0</v>
      </c>
      <c r="N4" s="10" t="n">
        <v>0</v>
      </c>
      <c r="O4" s="10" t="n">
        <v>0</v>
      </c>
      <c r="P4" s="10" t="n">
        <v>0</v>
      </c>
      <c r="Q4" s="10" t="n">
        <v>0</v>
      </c>
      <c r="R4" s="10" t="n">
        <v>0</v>
      </c>
      <c r="S4" s="10" t="n">
        <v>0</v>
      </c>
      <c r="T4" s="10" t="n">
        <v>0</v>
      </c>
      <c r="U4" s="10" t="n">
        <v>0</v>
      </c>
      <c r="V4" s="10" t="n">
        <v>0</v>
      </c>
      <c r="W4" s="10" t="n">
        <v>0</v>
      </c>
      <c r="X4" s="10" t="n">
        <v>0</v>
      </c>
      <c r="Y4" s="10" t="n">
        <v>0</v>
      </c>
      <c r="Z4" s="10" t="n">
        <v>0</v>
      </c>
      <c r="AA4" s="10" t="n">
        <v>0</v>
      </c>
      <c r="AB4" s="10" t="n">
        <v>0</v>
      </c>
      <c r="AC4" s="10" t="n">
        <v>0</v>
      </c>
      <c r="AD4" s="10" t="n">
        <v>0</v>
      </c>
      <c r="AE4" s="10" t="n">
        <v>0</v>
      </c>
      <c r="AF4" s="10" t="n">
        <v>0</v>
      </c>
      <c r="AG4" s="10" t="n">
        <v>0</v>
      </c>
      <c r="AH4" s="10" t="n">
        <v>0</v>
      </c>
      <c r="AI4" s="10" t="n">
        <v>0</v>
      </c>
      <c r="AJ4" s="10" t="n">
        <v>0</v>
      </c>
      <c r="AK4" s="10" t="n">
        <v>0</v>
      </c>
      <c r="AL4" s="10" t="n">
        <v>0</v>
      </c>
      <c r="AM4" s="10" t="n">
        <v>0</v>
      </c>
      <c r="AN4" s="10" t="n">
        <v>0</v>
      </c>
      <c r="AO4" s="10" t="n">
        <v>0</v>
      </c>
      <c r="AP4" s="10" t="n">
        <v>0</v>
      </c>
      <c r="AQ4" s="10" t="n">
        <v>0</v>
      </c>
      <c r="AR4" s="10" t="n">
        <v>0</v>
      </c>
      <c r="AS4" s="10" t="n">
        <v>0</v>
      </c>
    </row>
    <row r="5" ht="18" customHeight="1">
      <c r="A5" s="27" t="inlineStr">
        <is>
          <t>Juani</t>
        </is>
      </c>
      <c r="B5" s="10" t="n">
        <v>0</v>
      </c>
      <c r="C5" s="10" t="n">
        <v>0</v>
      </c>
      <c r="D5" s="10" t="n">
        <v>0</v>
      </c>
      <c r="E5" s="10" t="n">
        <v>0</v>
      </c>
      <c r="F5" s="10" t="n">
        <v>0</v>
      </c>
      <c r="G5" s="10" t="n">
        <v>0</v>
      </c>
      <c r="H5" s="10" t="n">
        <v>0</v>
      </c>
      <c r="I5" s="10" t="n">
        <v>0</v>
      </c>
      <c r="J5" s="10" t="n">
        <v>0</v>
      </c>
      <c r="K5" s="10" t="n">
        <v>-250000</v>
      </c>
      <c r="L5" s="10" t="n">
        <v>0</v>
      </c>
      <c r="M5" s="10" t="n">
        <v>0</v>
      </c>
      <c r="N5" s="10" t="n">
        <v>0</v>
      </c>
      <c r="O5" s="10" t="n">
        <v>0</v>
      </c>
      <c r="P5" s="10" t="n">
        <v>0</v>
      </c>
      <c r="Q5" s="10" t="n">
        <v>0</v>
      </c>
      <c r="R5" s="10" t="n">
        <v>0</v>
      </c>
      <c r="S5" s="10" t="n">
        <v>0</v>
      </c>
      <c r="T5" s="10" t="n">
        <v>0</v>
      </c>
      <c r="U5" s="10" t="n">
        <v>0</v>
      </c>
      <c r="V5" s="10" t="n">
        <v>0</v>
      </c>
      <c r="W5" s="10" t="n">
        <v>0</v>
      </c>
      <c r="X5" s="10" t="n">
        <v>0</v>
      </c>
      <c r="Y5" s="10" t="n">
        <v>0</v>
      </c>
      <c r="Z5" s="10" t="n">
        <v>-350000</v>
      </c>
      <c r="AA5" s="10" t="n">
        <v>0</v>
      </c>
      <c r="AB5" s="10" t="n">
        <v>0</v>
      </c>
      <c r="AC5" s="10" t="n">
        <v>0</v>
      </c>
      <c r="AD5" s="10" t="n">
        <v>0</v>
      </c>
      <c r="AE5" s="10" t="n">
        <v>0</v>
      </c>
      <c r="AF5" s="10" t="n">
        <v>0</v>
      </c>
      <c r="AG5" s="10" t="n">
        <v>0</v>
      </c>
      <c r="AH5" s="10" t="n">
        <v>0</v>
      </c>
      <c r="AI5" s="10" t="n">
        <v>0</v>
      </c>
      <c r="AJ5" s="10" t="n">
        <v>0</v>
      </c>
      <c r="AK5" s="10" t="n">
        <v>0</v>
      </c>
      <c r="AL5" s="10" t="n">
        <v>0</v>
      </c>
      <c r="AM5" s="10" t="n">
        <v>0</v>
      </c>
      <c r="AN5" s="10" t="n">
        <v>0</v>
      </c>
      <c r="AO5" s="10" t="n">
        <v>0</v>
      </c>
      <c r="AP5" s="10" t="n">
        <v>0</v>
      </c>
      <c r="AQ5" s="10" t="n">
        <v>0</v>
      </c>
      <c r="AR5" s="10" t="n">
        <v>0</v>
      </c>
      <c r="AS5" s="10" t="n">
        <v>0</v>
      </c>
    </row>
    <row r="6" ht="18" customHeight="1">
      <c r="A6" s="27" t="inlineStr">
        <is>
          <t>Leo</t>
        </is>
      </c>
      <c r="B6" s="10" t="n">
        <v>0</v>
      </c>
      <c r="C6" s="10" t="n">
        <v>0</v>
      </c>
      <c r="D6" s="10" t="n">
        <v>0</v>
      </c>
      <c r="E6" s="10" t="n">
        <v>0</v>
      </c>
      <c r="F6" s="10" t="n">
        <v>0</v>
      </c>
      <c r="G6" s="10" t="n">
        <v>0</v>
      </c>
      <c r="H6" s="10" t="n">
        <v>0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0" t="n">
        <v>0</v>
      </c>
      <c r="O6" s="10" t="n">
        <v>0</v>
      </c>
      <c r="P6" s="10" t="n">
        <v>0</v>
      </c>
      <c r="Q6" s="10" t="n">
        <v>0</v>
      </c>
      <c r="R6" s="10" t="n">
        <v>0</v>
      </c>
      <c r="S6" s="10" t="n">
        <v>0</v>
      </c>
      <c r="T6" s="10" t="n">
        <v>0</v>
      </c>
      <c r="U6" s="10" t="n">
        <v>0</v>
      </c>
      <c r="V6" s="10" t="n">
        <v>0</v>
      </c>
      <c r="W6" s="10" t="n">
        <v>0</v>
      </c>
      <c r="X6" s="10" t="n">
        <v>0</v>
      </c>
      <c r="Y6" s="10" t="n">
        <v>0</v>
      </c>
      <c r="Z6" s="10" t="n">
        <v>0</v>
      </c>
      <c r="AA6" s="10" t="n">
        <v>0</v>
      </c>
      <c r="AB6" s="10" t="n">
        <v>0</v>
      </c>
      <c r="AC6" s="10" t="n">
        <v>0</v>
      </c>
      <c r="AD6" s="10" t="n">
        <v>0</v>
      </c>
      <c r="AE6" s="10" t="n">
        <v>0</v>
      </c>
      <c r="AF6" s="10" t="n">
        <v>0</v>
      </c>
      <c r="AG6" s="10" t="n">
        <v>0</v>
      </c>
      <c r="AH6" s="10" t="n">
        <v>0</v>
      </c>
      <c r="AI6" s="10" t="n">
        <v>0</v>
      </c>
      <c r="AJ6" s="10" t="n">
        <v>0</v>
      </c>
      <c r="AK6" s="10" t="n">
        <v>0</v>
      </c>
      <c r="AL6" s="10" t="n">
        <v>0</v>
      </c>
      <c r="AM6" s="10" t="n">
        <v>0</v>
      </c>
      <c r="AN6" s="10" t="n">
        <v>0</v>
      </c>
      <c r="AO6" s="10" t="n">
        <v>0</v>
      </c>
      <c r="AP6" s="10" t="n">
        <v>0</v>
      </c>
      <c r="AQ6" s="10" t="n">
        <v>0</v>
      </c>
      <c r="AR6" s="10" t="n">
        <v>0</v>
      </c>
      <c r="AS6" s="10" t="n">
        <v>0</v>
      </c>
    </row>
    <row r="7" ht="18" customHeight="1">
      <c r="A7" s="27" t="inlineStr">
        <is>
          <t>Entradas a casamiento</t>
        </is>
      </c>
      <c r="B7" s="10" t="n">
        <v>0</v>
      </c>
      <c r="C7" s="10" t="n">
        <v>0</v>
      </c>
      <c r="D7" s="10" t="n">
        <v>0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0" t="n">
        <v>0</v>
      </c>
      <c r="O7" s="10" t="n">
        <v>0</v>
      </c>
      <c r="P7" s="10" t="n">
        <v>0</v>
      </c>
      <c r="Q7" s="10" t="n">
        <v>0</v>
      </c>
      <c r="R7" s="10" t="n">
        <v>-200000</v>
      </c>
      <c r="S7" s="10" t="n">
        <v>0</v>
      </c>
      <c r="T7" s="10" t="n">
        <v>0</v>
      </c>
      <c r="U7" s="10" t="n">
        <v>0</v>
      </c>
      <c r="V7" s="10" t="n">
        <v>0</v>
      </c>
      <c r="W7" s="10" t="n">
        <v>0</v>
      </c>
      <c r="X7" s="10" t="n">
        <v>0</v>
      </c>
      <c r="Y7" s="10" t="n">
        <v>0</v>
      </c>
      <c r="Z7" s="10" t="n">
        <v>0</v>
      </c>
      <c r="AA7" s="10" t="n">
        <v>0</v>
      </c>
      <c r="AB7" s="10" t="n">
        <v>0</v>
      </c>
      <c r="AC7" s="10" t="n">
        <v>0</v>
      </c>
      <c r="AD7" s="10" t="n">
        <v>0</v>
      </c>
      <c r="AE7" s="10" t="n">
        <v>0</v>
      </c>
      <c r="AF7" s="10" t="n">
        <v>0</v>
      </c>
      <c r="AG7" s="10" t="n">
        <v>0</v>
      </c>
      <c r="AH7" s="10" t="n">
        <v>0</v>
      </c>
      <c r="AI7" s="10" t="n">
        <v>0</v>
      </c>
      <c r="AJ7" s="10" t="n">
        <v>0</v>
      </c>
      <c r="AK7" s="10" t="n">
        <v>0</v>
      </c>
      <c r="AL7" s="10" t="n">
        <v>0</v>
      </c>
      <c r="AM7" s="10" t="n">
        <v>0</v>
      </c>
      <c r="AN7" s="10" t="n">
        <v>0</v>
      </c>
      <c r="AO7" s="10" t="n">
        <v>0</v>
      </c>
      <c r="AP7" s="10" t="n">
        <v>0</v>
      </c>
      <c r="AQ7" s="10" t="n">
        <v>0</v>
      </c>
      <c r="AR7" s="10" t="n">
        <v>0</v>
      </c>
      <c r="AS7" s="10" t="n">
        <v>0</v>
      </c>
    </row>
    <row r="8" ht="18" customHeight="1">
      <c r="A8" s="27" t="inlineStr">
        <is>
          <t>Gastos Varios</t>
        </is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0" t="n">
        <v>0</v>
      </c>
      <c r="O8" s="10" t="n">
        <v>0</v>
      </c>
      <c r="P8" s="10" t="n">
        <v>0</v>
      </c>
      <c r="Q8" s="10" t="n">
        <v>-85000</v>
      </c>
      <c r="R8" s="10" t="n">
        <v>-70000</v>
      </c>
      <c r="S8" s="10" t="n">
        <v>-70000</v>
      </c>
      <c r="T8" s="10" t="n">
        <v>-70000</v>
      </c>
      <c r="U8" s="10" t="n">
        <v>-70000</v>
      </c>
      <c r="V8" s="10" t="n">
        <v>-70000</v>
      </c>
      <c r="W8" s="10" t="n">
        <v>0</v>
      </c>
      <c r="X8" s="10" t="n">
        <v>0</v>
      </c>
      <c r="Y8" s="10" t="n">
        <v>0</v>
      </c>
      <c r="Z8" s="10" t="n">
        <v>0</v>
      </c>
      <c r="AA8" s="10" t="n">
        <v>0</v>
      </c>
      <c r="AB8" s="10" t="n">
        <v>0</v>
      </c>
      <c r="AC8" s="10" t="n">
        <v>0</v>
      </c>
      <c r="AD8" s="10" t="n">
        <v>0</v>
      </c>
      <c r="AE8" s="10" t="n">
        <v>0</v>
      </c>
      <c r="AF8" s="10" t="n">
        <v>0</v>
      </c>
      <c r="AG8" s="10" t="n">
        <v>0</v>
      </c>
      <c r="AH8" s="10" t="n">
        <v>0</v>
      </c>
      <c r="AI8" s="10" t="n">
        <v>0</v>
      </c>
      <c r="AJ8" s="10" t="n">
        <v>0</v>
      </c>
      <c r="AK8" s="10" t="n">
        <v>0</v>
      </c>
      <c r="AL8" s="10" t="n">
        <v>0</v>
      </c>
      <c r="AM8" s="10" t="n">
        <v>0</v>
      </c>
      <c r="AN8" s="10" t="n">
        <v>0</v>
      </c>
      <c r="AO8" s="10" t="n">
        <v>0</v>
      </c>
      <c r="AP8" s="10" t="n">
        <v>0</v>
      </c>
      <c r="AQ8" s="10" t="n">
        <v>0</v>
      </c>
      <c r="AR8" s="10" t="n">
        <v>0</v>
      </c>
      <c r="AS8" s="10" t="n">
        <v>0</v>
      </c>
    </row>
    <row r="9" ht="18" customHeight="1">
      <c r="A9" s="27" t="inlineStr">
        <is>
          <t>Aguinaldos Franco</t>
        </is>
      </c>
      <c r="B9" s="10" t="n">
        <v>0</v>
      </c>
      <c r="C9" s="10" t="n">
        <v>0</v>
      </c>
      <c r="D9" s="10" t="n">
        <v>0</v>
      </c>
      <c r="E9" s="10" t="n">
        <v>0</v>
      </c>
      <c r="F9" s="10" t="n">
        <v>500000</v>
      </c>
      <c r="G9" s="10" t="n">
        <v>0</v>
      </c>
      <c r="H9" s="10" t="n">
        <v>0</v>
      </c>
      <c r="I9" s="10" t="n">
        <v>0</v>
      </c>
      <c r="J9" s="10" t="n">
        <v>0</v>
      </c>
      <c r="K9" s="10" t="n">
        <v>665000</v>
      </c>
      <c r="L9" s="10" t="n">
        <v>0</v>
      </c>
      <c r="M9" s="10" t="n">
        <v>0</v>
      </c>
      <c r="N9" s="10" t="n">
        <v>0</v>
      </c>
      <c r="O9" s="10" t="n">
        <v>0</v>
      </c>
      <c r="P9" s="10" t="n">
        <v>0</v>
      </c>
      <c r="Q9" s="10" t="n">
        <v>0</v>
      </c>
      <c r="R9" s="10" t="n">
        <v>950000</v>
      </c>
      <c r="S9" s="10" t="n">
        <v>0</v>
      </c>
      <c r="T9" s="10" t="n">
        <v>0</v>
      </c>
      <c r="U9" s="10" t="n">
        <v>0</v>
      </c>
      <c r="V9" s="10" t="n">
        <v>0</v>
      </c>
      <c r="W9" s="10" t="n">
        <v>0</v>
      </c>
      <c r="X9" s="10" t="n">
        <v>1250000</v>
      </c>
      <c r="Y9" s="10" t="n">
        <v>0</v>
      </c>
      <c r="Z9" s="10" t="n">
        <v>0</v>
      </c>
      <c r="AA9" s="10" t="n">
        <v>0</v>
      </c>
      <c r="AB9" s="10" t="n">
        <v>0</v>
      </c>
      <c r="AC9" s="10" t="n">
        <v>0</v>
      </c>
      <c r="AD9" s="10" t="n">
        <v>0</v>
      </c>
      <c r="AE9" s="10" t="n">
        <v>0</v>
      </c>
      <c r="AF9" s="10" t="n">
        <v>0</v>
      </c>
      <c r="AG9" s="10" t="n">
        <v>0</v>
      </c>
      <c r="AH9" s="10" t="n">
        <v>0</v>
      </c>
      <c r="AI9" s="10" t="n">
        <v>0</v>
      </c>
      <c r="AJ9" s="10" t="n">
        <v>0</v>
      </c>
      <c r="AK9" s="10" t="n">
        <v>0</v>
      </c>
      <c r="AL9" s="10" t="n">
        <v>0</v>
      </c>
      <c r="AM9" s="10" t="n">
        <v>0</v>
      </c>
      <c r="AN9" s="10" t="n">
        <v>0</v>
      </c>
      <c r="AO9" s="10" t="n">
        <v>0</v>
      </c>
      <c r="AP9" s="10" t="n">
        <v>0</v>
      </c>
      <c r="AQ9" s="10" t="n">
        <v>0</v>
      </c>
      <c r="AR9" s="10" t="n">
        <v>0</v>
      </c>
      <c r="AS9" s="10" t="n">
        <v>0</v>
      </c>
    </row>
    <row r="10" ht="18" customHeight="1">
      <c r="A10" s="27" t="inlineStr">
        <is>
          <t>Mes adelantado + % contrato</t>
        </is>
      </c>
      <c r="B10" s="10" t="n">
        <v>0</v>
      </c>
      <c r="C10" s="10" t="n">
        <v>0</v>
      </c>
      <c r="D10" s="10" t="n">
        <v>0</v>
      </c>
      <c r="E10" s="10" t="n">
        <v>0</v>
      </c>
      <c r="F10" s="10" t="n">
        <v>-760000</v>
      </c>
      <c r="G10" s="10" t="n">
        <v>0</v>
      </c>
      <c r="H10" s="10" t="n">
        <v>0</v>
      </c>
      <c r="I10" s="10" t="n">
        <v>0</v>
      </c>
      <c r="J10" s="10" t="n">
        <v>0</v>
      </c>
      <c r="K10" s="10" t="n">
        <v>0</v>
      </c>
      <c r="L10" s="10" t="n">
        <v>0</v>
      </c>
      <c r="M10" s="10" t="n">
        <v>0</v>
      </c>
      <c r="N10" s="10" t="n">
        <v>0</v>
      </c>
      <c r="O10" s="10" t="n">
        <v>0</v>
      </c>
      <c r="P10" s="10" t="n">
        <v>0</v>
      </c>
      <c r="Q10" s="10" t="n">
        <v>0</v>
      </c>
      <c r="R10" s="10" t="n">
        <v>0</v>
      </c>
      <c r="S10" s="10" t="n">
        <v>0</v>
      </c>
      <c r="T10" s="10" t="n">
        <v>0</v>
      </c>
      <c r="U10" s="10" t="n">
        <v>0</v>
      </c>
      <c r="V10" s="10" t="n">
        <v>0</v>
      </c>
      <c r="W10" s="10" t="n">
        <v>0</v>
      </c>
      <c r="X10" s="10" t="inlineStr">
        <is>
          <t>-</t>
        </is>
      </c>
      <c r="Y10" s="10" t="n">
        <v>0</v>
      </c>
      <c r="Z10" s="10" t="n">
        <v>0</v>
      </c>
      <c r="AA10" s="10" t="n">
        <v>0</v>
      </c>
      <c r="AB10" s="10" t="n">
        <v>0</v>
      </c>
      <c r="AC10" s="10" t="n">
        <v>0</v>
      </c>
      <c r="AD10" s="10" t="n">
        <v>0</v>
      </c>
      <c r="AE10" s="10" t="n">
        <v>0</v>
      </c>
      <c r="AF10" s="10" t="n">
        <v>0</v>
      </c>
      <c r="AG10" s="10" t="n">
        <v>0</v>
      </c>
      <c r="AH10" s="10" t="n">
        <v>0</v>
      </c>
      <c r="AI10" s="10" t="n">
        <v>0</v>
      </c>
      <c r="AJ10" s="10" t="n">
        <v>0</v>
      </c>
      <c r="AK10" s="10" t="n">
        <v>0</v>
      </c>
      <c r="AL10" s="10" t="n">
        <v>0</v>
      </c>
      <c r="AM10" s="10" t="n">
        <v>0</v>
      </c>
      <c r="AN10" s="10" t="n">
        <v>0</v>
      </c>
      <c r="AO10" s="10" t="n">
        <v>0</v>
      </c>
      <c r="AP10" s="10" t="n">
        <v>0</v>
      </c>
      <c r="AQ10" s="10" t="n">
        <v>0</v>
      </c>
      <c r="AR10" s="10" t="n">
        <v>0</v>
      </c>
      <c r="AS10" s="10" t="n">
        <v>0</v>
      </c>
    </row>
    <row r="11" ht="18" customHeight="1">
      <c r="A11" s="27" t="inlineStr">
        <is>
          <t>Alquier (Agua y Cloaca)</t>
        </is>
      </c>
      <c r="B11" s="10" t="n">
        <v>0</v>
      </c>
      <c r="C11" s="10" t="n">
        <v>0</v>
      </c>
      <c r="D11" s="10" t="n">
        <v>0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10" t="n">
        <v>0</v>
      </c>
      <c r="L11" s="10" t="n">
        <v>-32000</v>
      </c>
      <c r="M11" s="10" t="n">
        <v>-34000</v>
      </c>
      <c r="N11" s="10" t="n">
        <v>-35000</v>
      </c>
      <c r="O11" s="10" t="n">
        <v>-35000</v>
      </c>
      <c r="P11" s="10" t="n">
        <v>-35000</v>
      </c>
      <c r="Q11" s="10" t="n">
        <v>-35000</v>
      </c>
      <c r="R11" s="10" t="n">
        <v>-35000</v>
      </c>
      <c r="S11" s="10" t="n">
        <v>-35000</v>
      </c>
      <c r="T11" s="10" t="n">
        <v>-35000</v>
      </c>
      <c r="U11" s="10" t="n">
        <v>-35000</v>
      </c>
      <c r="V11" s="10" t="n">
        <v>-35000</v>
      </c>
      <c r="W11" s="10" t="n">
        <v>-35000</v>
      </c>
      <c r="X11" s="10" t="n">
        <v>-35000</v>
      </c>
      <c r="Y11" s="10" t="n">
        <v>0</v>
      </c>
      <c r="Z11" s="10" t="n">
        <v>0</v>
      </c>
      <c r="AA11" s="10" t="n">
        <v>0</v>
      </c>
      <c r="AB11" s="10" t="n">
        <v>0</v>
      </c>
      <c r="AC11" s="10" t="n">
        <v>0</v>
      </c>
      <c r="AD11" s="10" t="n">
        <v>0</v>
      </c>
      <c r="AE11" s="10" t="n">
        <v>0</v>
      </c>
      <c r="AF11" s="10" t="n">
        <v>0</v>
      </c>
      <c r="AG11" s="10" t="n">
        <v>0</v>
      </c>
      <c r="AH11" s="10" t="n">
        <v>0</v>
      </c>
      <c r="AI11" s="10" t="n">
        <v>0</v>
      </c>
      <c r="AJ11" s="10" t="n">
        <v>0</v>
      </c>
      <c r="AK11" s="10" t="n">
        <v>0</v>
      </c>
      <c r="AL11" s="10" t="n">
        <v>0</v>
      </c>
      <c r="AM11" s="10" t="n">
        <v>0</v>
      </c>
      <c r="AN11" s="10" t="n">
        <v>0</v>
      </c>
      <c r="AO11" s="10" t="n">
        <v>0</v>
      </c>
      <c r="AP11" s="10" t="n">
        <v>0</v>
      </c>
      <c r="AQ11" s="10" t="n">
        <v>0</v>
      </c>
      <c r="AR11" s="10" t="n">
        <v>0</v>
      </c>
      <c r="AS11" s="10" t="n">
        <v>0</v>
      </c>
    </row>
    <row r="12" ht="18" customHeight="1">
      <c r="A12" s="27" t="inlineStr">
        <is>
          <t>Alquiler</t>
        </is>
      </c>
      <c r="B12" s="10" t="n">
        <v>0</v>
      </c>
      <c r="C12" s="10" t="n">
        <v>0</v>
      </c>
      <c r="D12" s="10" t="n">
        <v>0</v>
      </c>
      <c r="E12" s="10" t="n">
        <v>0</v>
      </c>
      <c r="F12" s="10" t="n">
        <v>-380000</v>
      </c>
      <c r="G12" s="10" t="n">
        <v>-380000</v>
      </c>
      <c r="H12" s="10" t="n">
        <v>-380000</v>
      </c>
      <c r="I12" s="10" t="n">
        <v>-402860</v>
      </c>
      <c r="J12" s="10" t="n">
        <v>-402860</v>
      </c>
      <c r="K12" s="10" t="n">
        <v>-402860</v>
      </c>
      <c r="L12" s="10" t="n">
        <v>-435000</v>
      </c>
      <c r="M12" s="10" t="n">
        <v>-435000</v>
      </c>
      <c r="N12" s="10" t="n">
        <v>-435000</v>
      </c>
      <c r="O12" s="10" t="n">
        <v>-470000</v>
      </c>
      <c r="P12" s="10" t="n">
        <v>-470000</v>
      </c>
      <c r="Q12" s="10" t="n">
        <v>-470000</v>
      </c>
      <c r="R12" s="10" t="n">
        <v>-515000</v>
      </c>
      <c r="S12" s="10" t="n">
        <v>-515000</v>
      </c>
      <c r="T12" s="10" t="n">
        <v>-515000</v>
      </c>
      <c r="U12" s="10" t="n">
        <v>-535000</v>
      </c>
      <c r="V12" s="10" t="n">
        <v>-535000</v>
      </c>
      <c r="W12" s="10" t="n">
        <v>-535000</v>
      </c>
      <c r="X12" s="10" t="n">
        <v>-567000</v>
      </c>
      <c r="Y12" s="10" t="n">
        <v>0</v>
      </c>
      <c r="Z12" s="10" t="n">
        <v>0</v>
      </c>
      <c r="AA12" s="10" t="n">
        <v>0</v>
      </c>
      <c r="AB12" s="10" t="n">
        <v>0</v>
      </c>
      <c r="AC12" s="10" t="n">
        <v>0</v>
      </c>
      <c r="AD12" s="10" t="n">
        <v>0</v>
      </c>
      <c r="AE12" s="10" t="n">
        <v>0</v>
      </c>
      <c r="AF12" s="10" t="n">
        <v>0</v>
      </c>
      <c r="AG12" s="10" t="n">
        <v>0</v>
      </c>
      <c r="AH12" s="10" t="n">
        <v>0</v>
      </c>
      <c r="AI12" s="10" t="n">
        <v>0</v>
      </c>
      <c r="AJ12" s="10" t="n">
        <v>0</v>
      </c>
      <c r="AK12" s="10" t="n">
        <v>0</v>
      </c>
      <c r="AL12" s="10" t="n">
        <v>0</v>
      </c>
      <c r="AM12" s="10" t="n">
        <v>0</v>
      </c>
      <c r="AN12" s="10" t="n">
        <v>0</v>
      </c>
      <c r="AO12" s="10" t="n">
        <v>0</v>
      </c>
      <c r="AP12" s="10" t="n">
        <v>0</v>
      </c>
      <c r="AQ12" s="10" t="n">
        <v>0</v>
      </c>
      <c r="AR12" s="10" t="n">
        <v>0</v>
      </c>
      <c r="AS12" s="10" t="n">
        <v>0</v>
      </c>
    </row>
    <row r="13">
      <c r="A13" s="28" t="inlineStr">
        <is>
          <t>TOTAL</t>
        </is>
      </c>
      <c r="B13" s="29">
        <f>SUM(B4:B12)</f>
        <v/>
      </c>
      <c r="C13" s="29">
        <f>SUM(C4:C12)</f>
        <v/>
      </c>
      <c r="D13" s="29">
        <f>SUM(D4:D12)</f>
        <v/>
      </c>
      <c r="E13" s="29">
        <f>SUM(E4:E12)</f>
        <v/>
      </c>
      <c r="F13" s="29">
        <f>SUM(F4:F12)</f>
        <v/>
      </c>
      <c r="G13" s="29">
        <f>SUM(G4:G12)</f>
        <v/>
      </c>
      <c r="H13" s="29">
        <f>SUM(H4:H12)</f>
        <v/>
      </c>
      <c r="I13" s="29">
        <f>SUM(I4:I12)</f>
        <v/>
      </c>
      <c r="J13" s="29">
        <f>SUM(J4:J12)</f>
        <v/>
      </c>
      <c r="K13" s="29">
        <f>SUM(K4:K12)</f>
        <v/>
      </c>
      <c r="L13" s="29">
        <f>SUM(L4:L12)</f>
        <v/>
      </c>
      <c r="M13" s="29">
        <f>SUM(M4:M12)</f>
        <v/>
      </c>
      <c r="N13" s="29">
        <f>SUM(N4:N12)</f>
        <v/>
      </c>
      <c r="O13" s="29">
        <f>SUM(O4:O12)</f>
        <v/>
      </c>
      <c r="P13" s="29">
        <f>SUM(P4:P12)</f>
        <v/>
      </c>
      <c r="Q13" s="29">
        <f>SUM(Q4:Q12)</f>
        <v/>
      </c>
      <c r="R13" s="29">
        <f>SUM(R4:R12)</f>
        <v/>
      </c>
      <c r="S13" s="29">
        <f>SUM(S4:S12)</f>
        <v/>
      </c>
      <c r="T13" s="29">
        <f>SUM(T4:T12)</f>
        <v/>
      </c>
      <c r="U13" s="29">
        <f>SUM(U4:U12)</f>
        <v/>
      </c>
      <c r="V13" s="29">
        <f>SUM(V4:V12)</f>
        <v/>
      </c>
      <c r="W13" s="29">
        <f>SUM(W4:W12)</f>
        <v/>
      </c>
      <c r="X13" s="29">
        <f>SUM(X4:X12)</f>
        <v/>
      </c>
      <c r="Y13" s="29">
        <f>SUM(Y4:Y12)</f>
        <v/>
      </c>
      <c r="Z13" s="29">
        <f>SUM(Z4:Z12)</f>
        <v/>
      </c>
      <c r="AA13" s="29">
        <f>SUM(AA4:AA12)</f>
        <v/>
      </c>
      <c r="AB13" s="29">
        <f>SUM(AB4:AB12)</f>
        <v/>
      </c>
      <c r="AC13" s="29">
        <f>SUM(AC4:AC12)</f>
        <v/>
      </c>
      <c r="AD13" s="29">
        <f>SUM(AD4:AD12)</f>
        <v/>
      </c>
      <c r="AE13" s="29">
        <f>SUM(AE4:AE12)</f>
        <v/>
      </c>
      <c r="AF13" s="29">
        <f>SUM(AF4:AF12)</f>
        <v/>
      </c>
      <c r="AG13" s="29">
        <f>SUM(AG4:AG12)</f>
        <v/>
      </c>
      <c r="AH13" s="29">
        <f>SUM(AH4:AH12)</f>
        <v/>
      </c>
      <c r="AI13" s="29">
        <f>SUM(AI4:AI12)</f>
        <v/>
      </c>
      <c r="AJ13" s="29">
        <f>SUM(AJ4:AJ12)</f>
        <v/>
      </c>
      <c r="AK13" s="29">
        <f>SUM(AK4:AK12)</f>
        <v/>
      </c>
      <c r="AL13" s="29">
        <f>SUM(AL4:AL12)</f>
        <v/>
      </c>
      <c r="AM13" s="29">
        <f>SUM(AM4:AM12)</f>
        <v/>
      </c>
      <c r="AN13" s="29">
        <f>SUM(AN4:AN12)</f>
        <v/>
      </c>
      <c r="AO13" s="29">
        <f>SUM(AO4:AO12)</f>
        <v/>
      </c>
      <c r="AP13" s="29">
        <f>SUM(AP4:AP12)</f>
        <v/>
      </c>
      <c r="AQ13" s="29">
        <f>SUM(AQ4:AQ12)</f>
        <v/>
      </c>
      <c r="AR13" s="29">
        <f>SUM(AR4:AR12)</f>
        <v/>
      </c>
      <c r="AS13" s="29">
        <f>SUM(AS4:AS12)</f>
        <v/>
      </c>
    </row>
  </sheetData>
  <mergeCells count="1">
    <mergeCell ref="A3:AS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Normal="100" workbookViewId="0">
      <selection activeCell="A1" sqref="A1"/>
    </sheetView>
  </sheetViews>
  <sheetFormatPr baseColWidth="8" defaultColWidth="8.7109375" defaultRowHeight="15"/>
  <cols>
    <col width="28" customWidth="1" min="1" max="1"/>
    <col width="18" customWidth="1" min="2" max="4"/>
  </cols>
  <sheetData>
    <row r="1" ht="15" customHeight="1">
      <c r="A1" s="31" t="inlineStr">
        <is>
          <t>📌 DATOS DE REFERENCIA - ALQUILERES</t>
        </is>
      </c>
    </row>
    <row r="2">
      <c r="A2" s="30" t="inlineStr">
        <is>
          <t>Concepto</t>
        </is>
      </c>
      <c r="B2" s="30" t="inlineStr">
        <is>
          <t>Alquiler Actual</t>
        </is>
      </c>
      <c r="C2" s="30" t="inlineStr">
        <is>
          <t>Alquiler E. Vieja</t>
        </is>
      </c>
      <c r="D2" s="30" t="inlineStr">
        <is>
          <t>Diferencia</t>
        </is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4" customWidth="1" min="3" max="3"/>
    <col width="16" customWidth="1" min="4" max="4"/>
    <col width="18" customWidth="1" min="5" max="5"/>
    <col width="16" customWidth="1" min="6" max="6"/>
    <col width="11" customWidth="1" min="7" max="7"/>
    <col width="17" customWidth="1" min="8" max="8"/>
    <col width="14" customWidth="1" min="9" max="9"/>
  </cols>
  <sheetData>
    <row r="1" ht="32" customHeight="1">
      <c r="A1" s="35" t="inlineStr">
        <is>
          <t>🎯 PLAN DE OBJETIVOS FINANCIEROS — SECUENCIAL</t>
        </is>
      </c>
    </row>
    <row r="2" ht="20" customHeight="1">
      <c r="A2" s="36" t="inlineStr">
        <is>
          <t>📐 SUPUESTO: Ahorro mensual destinado a objetivos</t>
        </is>
      </c>
    </row>
    <row r="3" ht="20" customHeight="1">
      <c r="A3" s="60" t="inlineStr">
        <is>
          <t>Ahorro mensual ($)</t>
        </is>
      </c>
      <c r="B3" s="59" t="n">
        <v>200000</v>
      </c>
      <c r="C3" s="61" t="inlineStr">
        <is>
          <t>← Modificar cada mes según tu ahorro real</t>
        </is>
      </c>
    </row>
    <row r="4" ht="8" customHeight="1"/>
    <row r="5" ht="28" customHeight="1">
      <c r="A5" s="36" t="inlineStr">
        <is>
          <t>OBJETIVO</t>
        </is>
      </c>
      <c r="B5" s="36" t="inlineStr">
        <is>
          <t>PRIORIDAD</t>
        </is>
      </c>
      <c r="C5" s="36" t="inlineStr">
        <is>
          <t>FECHA LIMITE</t>
        </is>
      </c>
      <c r="D5" s="36" t="inlineStr">
        <is>
          <t>MONTO META ($)</t>
        </is>
      </c>
      <c r="E5" s="36" t="inlineStr">
        <is>
          <t>YA AHORRADO ($)</t>
        </is>
      </c>
      <c r="F5" s="36" t="inlineStr">
        <is>
          <t>FALTANTE ($)</t>
        </is>
      </c>
      <c r="G5" s="36" t="inlineStr">
        <is>
          <t>% AVANCE</t>
        </is>
      </c>
      <c r="H5" s="36" t="inlineStr">
        <is>
          <t>MESES RESTANTES</t>
        </is>
      </c>
      <c r="I5" s="36" t="inlineStr">
        <is>
          <t>ESTADO</t>
        </is>
      </c>
    </row>
    <row r="6" ht="22" customHeight="1">
      <c r="A6" s="37" t="inlineStr">
        <is>
          <t>CIUDADANÍA (TRADUCCIÓN)</t>
        </is>
      </c>
      <c r="B6" s="38" t="n">
        <v>1</v>
      </c>
      <c r="C6" s="38" t="inlineStr">
        <is>
          <t>nov-26</t>
        </is>
      </c>
      <c r="D6" s="39" t="n">
        <v>650000</v>
      </c>
      <c r="E6" s="39" t="n">
        <v>200000</v>
      </c>
      <c r="F6" s="40">
        <f>IF(D6=0,"-",D6-E6)</f>
        <v/>
      </c>
      <c r="G6" s="41">
        <f>IF(D6=0,"-",E6/D6)</f>
        <v/>
      </c>
      <c r="H6" s="42">
        <f>IF(D6=0,"-",IF(E6&gt;=D6,0,CEILING((D6-E6)/$B$3,1)))</f>
        <v/>
      </c>
      <c r="I6" s="38">
        <f>IF(D6=0,"N/A",IF(E6&gt;=D6,"✅ LISTO",IF(E6/D6&gt;=0.5,"🟡 EN CURSO","🔴 PENDIENTE")))</f>
        <v/>
      </c>
    </row>
    <row r="7" ht="22" customHeight="1">
      <c r="A7" s="43" t="inlineStr">
        <is>
          <t>CIUDADANÍA (EMBAJADA)</t>
        </is>
      </c>
      <c r="B7" s="44" t="n">
        <v>2</v>
      </c>
      <c r="C7" s="44" t="inlineStr">
        <is>
          <t>mar-27</t>
        </is>
      </c>
      <c r="D7" s="45" t="n">
        <v>650000</v>
      </c>
      <c r="E7" s="45" t="n">
        <v>0</v>
      </c>
      <c r="F7" s="46">
        <f>IF(D7=0,"-",D7-E7)</f>
        <v/>
      </c>
      <c r="G7" s="47">
        <f>IF(D7=0,"-",E7/D7)</f>
        <v/>
      </c>
      <c r="H7" s="48">
        <f>IF(D7=0,"-",IF(E7&gt;=D7,0,F6/$B$3+CEILING((D7-E7)/$B$3,1)))</f>
        <v/>
      </c>
      <c r="I7" s="44">
        <f>IF(D7=0,"N/A",IF(E7&gt;=D7,"✅ LISTO",IF(E7/D7&gt;=0.5,"🟡 EN CURSO","🔴 PENDIENTE")))</f>
        <v/>
      </c>
    </row>
    <row r="8" ht="22" customHeight="1">
      <c r="A8" s="49" t="inlineStr">
        <is>
          <t>INVERSIÓN S&amp;P 500</t>
        </is>
      </c>
      <c r="B8" s="50" t="n">
        <v>3</v>
      </c>
      <c r="C8" s="50" t="inlineStr">
        <is>
          <t>Sin fecha</t>
        </is>
      </c>
      <c r="D8" s="51" t="n">
        <v>0</v>
      </c>
      <c r="E8" s="51" t="n">
        <v>0</v>
      </c>
      <c r="F8" s="52">
        <f>IF(D8=0,"-",D8-E8)</f>
        <v/>
      </c>
      <c r="G8" s="53">
        <f>IF(D8=0,"-",E8/D8)</f>
        <v/>
      </c>
      <c r="H8" s="54" t="inlineStr">
        <is>
          <t>"-"</t>
        </is>
      </c>
      <c r="I8" s="50">
        <f>IF(E8&gt;0,"💰 INVIRTIENDO","⏳ PRÓXIMO")</f>
        <v/>
      </c>
    </row>
    <row r="9" ht="22" customHeight="1">
      <c r="A9" s="62" t="inlineStr">
        <is>
          <t>TOTAL OBJETIVOS FIJOS</t>
        </is>
      </c>
      <c r="D9" s="63">
        <f>D6+D7</f>
        <v/>
      </c>
      <c r="E9" s="63">
        <f>E6+E7</f>
        <v/>
      </c>
      <c r="F9" s="63">
        <f>F6+F7</f>
        <v/>
      </c>
    </row>
    <row r="10" ht="8" customHeight="1"/>
    <row r="11" ht="20" customHeight="1">
      <c r="A11" s="64" t="inlineStr">
        <is>
          <t>📋 LÓGICA SECUENCIAL</t>
        </is>
      </c>
    </row>
    <row r="12" ht="18" customHeight="1">
      <c r="A12" s="65" t="inlineStr">
        <is>
          <t>1. Ahorrás $200.000/mes → Traducción cubierta en ~2-3 meses (nov-26)</t>
        </is>
      </c>
    </row>
    <row r="13" ht="18" customHeight="1">
      <c r="A13" s="65" t="inlineStr">
        <is>
          <t>2. Pagada la Traducción en nov-26 → seguís ahorrando $200.000/mes → Embajada cubierta en mar-27</t>
        </is>
      </c>
    </row>
    <row r="14" ht="18" customHeight="1">
      <c r="A14" s="65" t="inlineStr">
        <is>
          <t>3. Cumplidos ambos objetivos → el ahorro mensual se destina libre a Inversión S&amp;P 500</t>
        </is>
      </c>
    </row>
  </sheetData>
  <mergeCells count="8">
    <mergeCell ref="A2:I2"/>
    <mergeCell ref="A11:I11"/>
    <mergeCell ref="C3:I3"/>
    <mergeCell ref="A13:I13"/>
    <mergeCell ref="A14:I14"/>
    <mergeCell ref="A1:I1"/>
    <mergeCell ref="A9:C9"/>
    <mergeCell ref="A12:I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2026-06-27T10:25:36Z</dcterms:created>
  <dcterms:modified xmlns:dcterms="http://purl.org/dc/terms/" xmlns:xsi="http://www.w3.org/2001/XMLSchema-instance" xsi:type="dcterms:W3CDTF">2026-06-29T10:06:08Z</dcterms:modified>
  <cp:lastModifiedBy>Azure</cp:lastModifiedBy>
  <cp:revision>0</cp:revision>
</cp:coreProperties>
</file>