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4"/>
  <workbookPr/>
  <xr:revisionPtr revIDLastSave="0" documentId="8_{E90C3C34-718F-4E64-910E-5731F26C538F}" xr6:coauthVersionLast="47" xr6:coauthVersionMax="47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Panel Principal" sheetId="1" r:id="rId1"/>
    <sheet name="Tarjetas_Bancos" sheetId="2" r:id="rId2"/>
    <sheet name="Gastos_Personales" sheetId="3" r:id="rId3"/>
    <sheet name="Hogar" sheetId="4" r:id="rId4"/>
    <sheet name="Deudas_Varios" sheetId="5" r:id="rId5"/>
    <sheet name="Referencia" sheetId="6" r:id="rId6"/>
    <sheet name="Objetivos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7" l="1"/>
  <c r="E9" i="7"/>
  <c r="D9" i="7"/>
  <c r="I8" i="7"/>
  <c r="G8" i="7"/>
  <c r="F8" i="7"/>
  <c r="I7" i="7"/>
  <c r="I6" i="7"/>
  <c r="H6" i="7"/>
  <c r="AS13" i="5"/>
  <c r="AR13" i="5"/>
  <c r="AQ13" i="5"/>
  <c r="AP13" i="5"/>
  <c r="AO13" i="5"/>
  <c r="AN13" i="5"/>
  <c r="AN7" i="1" s="1"/>
  <c r="AM13" i="5"/>
  <c r="AL13" i="5"/>
  <c r="AK13" i="5"/>
  <c r="AJ13" i="5"/>
  <c r="AI13" i="5"/>
  <c r="AH13" i="5"/>
  <c r="AG13" i="5"/>
  <c r="AF13" i="5"/>
  <c r="AF7" i="1" s="1"/>
  <c r="AE13" i="5"/>
  <c r="AD13" i="5"/>
  <c r="AC13" i="5"/>
  <c r="AB13" i="5"/>
  <c r="AA13" i="5"/>
  <c r="Z13" i="5"/>
  <c r="Y13" i="5"/>
  <c r="X13" i="5"/>
  <c r="X7" i="1" s="1"/>
  <c r="W13" i="5"/>
  <c r="V13" i="5"/>
  <c r="U13" i="5"/>
  <c r="T13" i="5"/>
  <c r="S13" i="5"/>
  <c r="R13" i="5"/>
  <c r="Q13" i="5"/>
  <c r="P13" i="5"/>
  <c r="P7" i="1" s="1"/>
  <c r="O13" i="5"/>
  <c r="N13" i="5"/>
  <c r="M13" i="5"/>
  <c r="L13" i="5"/>
  <c r="K13" i="5"/>
  <c r="J13" i="5"/>
  <c r="I13" i="5"/>
  <c r="H13" i="5"/>
  <c r="H7" i="1" s="1"/>
  <c r="G13" i="5"/>
  <c r="F13" i="5"/>
  <c r="E13" i="5"/>
  <c r="D13" i="5"/>
  <c r="C13" i="5"/>
  <c r="B13" i="5"/>
  <c r="AS11" i="4"/>
  <c r="AR11" i="4"/>
  <c r="AR6" i="1" s="1"/>
  <c r="AQ11" i="4"/>
  <c r="AP11" i="4"/>
  <c r="AO11" i="4"/>
  <c r="AN11" i="4"/>
  <c r="AM11" i="4"/>
  <c r="AL11" i="4"/>
  <c r="AK11" i="4"/>
  <c r="AJ11" i="4"/>
  <c r="AJ6" i="1" s="1"/>
  <c r="AI11" i="4"/>
  <c r="AH11" i="4"/>
  <c r="AG11" i="4"/>
  <c r="AF11" i="4"/>
  <c r="AE11" i="4"/>
  <c r="AD11" i="4"/>
  <c r="AC11" i="4"/>
  <c r="AB11" i="4"/>
  <c r="AB6" i="1" s="1"/>
  <c r="AA11" i="4"/>
  <c r="Z11" i="4"/>
  <c r="Y11" i="4"/>
  <c r="X11" i="4"/>
  <c r="W11" i="4"/>
  <c r="V11" i="4"/>
  <c r="U11" i="4"/>
  <c r="T11" i="4"/>
  <c r="T6" i="1" s="1"/>
  <c r="S11" i="4"/>
  <c r="R11" i="4"/>
  <c r="Q11" i="4"/>
  <c r="P11" i="4"/>
  <c r="O11" i="4"/>
  <c r="N11" i="4"/>
  <c r="M11" i="4"/>
  <c r="L11" i="4"/>
  <c r="L6" i="1" s="1"/>
  <c r="K11" i="4"/>
  <c r="J11" i="4"/>
  <c r="I11" i="4"/>
  <c r="H11" i="4"/>
  <c r="G11" i="4"/>
  <c r="F11" i="4"/>
  <c r="E11" i="4"/>
  <c r="D11" i="4"/>
  <c r="D6" i="1" s="1"/>
  <c r="C11" i="4"/>
  <c r="B11" i="4"/>
  <c r="AS10" i="3"/>
  <c r="AR10" i="3"/>
  <c r="AQ10" i="3"/>
  <c r="AP10" i="3"/>
  <c r="AO10" i="3"/>
  <c r="AN10" i="3"/>
  <c r="AN5" i="1" s="1"/>
  <c r="AM10" i="3"/>
  <c r="AL10" i="3"/>
  <c r="AK10" i="3"/>
  <c r="AJ10" i="3"/>
  <c r="AI10" i="3"/>
  <c r="AH10" i="3"/>
  <c r="AG10" i="3"/>
  <c r="AF10" i="3"/>
  <c r="AF5" i="1" s="1"/>
  <c r="AE10" i="3"/>
  <c r="AD10" i="3"/>
  <c r="AC10" i="3"/>
  <c r="AB10" i="3"/>
  <c r="AA10" i="3"/>
  <c r="Z10" i="3"/>
  <c r="Y10" i="3"/>
  <c r="X10" i="3"/>
  <c r="X5" i="1" s="1"/>
  <c r="W10" i="3"/>
  <c r="V10" i="3"/>
  <c r="U10" i="3"/>
  <c r="T10" i="3"/>
  <c r="S10" i="3"/>
  <c r="R10" i="3"/>
  <c r="Q10" i="3"/>
  <c r="P10" i="3"/>
  <c r="P5" i="1" s="1"/>
  <c r="O10" i="3"/>
  <c r="N10" i="3"/>
  <c r="M10" i="3"/>
  <c r="L10" i="3"/>
  <c r="K10" i="3"/>
  <c r="J10" i="3"/>
  <c r="I10" i="3"/>
  <c r="H10" i="3"/>
  <c r="H5" i="1" s="1"/>
  <c r="G10" i="3"/>
  <c r="F10" i="3"/>
  <c r="E10" i="3"/>
  <c r="D10" i="3"/>
  <c r="C10" i="3"/>
  <c r="B10" i="3"/>
  <c r="AS13" i="2"/>
  <c r="AR13" i="2"/>
  <c r="AR4" i="1" s="1"/>
  <c r="AQ13" i="2"/>
  <c r="AP13" i="2"/>
  <c r="AO13" i="2"/>
  <c r="AN13" i="2"/>
  <c r="AM13" i="2"/>
  <c r="AL13" i="2"/>
  <c r="AK13" i="2"/>
  <c r="AJ13" i="2"/>
  <c r="AJ4" i="1" s="1"/>
  <c r="AI13" i="2"/>
  <c r="AH13" i="2"/>
  <c r="AG13" i="2"/>
  <c r="AF13" i="2"/>
  <c r="AE13" i="2"/>
  <c r="AD13" i="2"/>
  <c r="AC13" i="2"/>
  <c r="AB13" i="2"/>
  <c r="AB4" i="1" s="1"/>
  <c r="AA13" i="2"/>
  <c r="Z13" i="2"/>
  <c r="Y13" i="2"/>
  <c r="X13" i="2"/>
  <c r="W13" i="2"/>
  <c r="V13" i="2"/>
  <c r="U13" i="2"/>
  <c r="T13" i="2"/>
  <c r="T4" i="1" s="1"/>
  <c r="S13" i="2"/>
  <c r="S4" i="1" s="1"/>
  <c r="R13" i="2"/>
  <c r="R4" i="1" s="1"/>
  <c r="Q13" i="2"/>
  <c r="P13" i="2"/>
  <c r="O13" i="2"/>
  <c r="N13" i="2"/>
  <c r="M13" i="2"/>
  <c r="L13" i="2"/>
  <c r="L4" i="1" s="1"/>
  <c r="K13" i="2"/>
  <c r="J13" i="2"/>
  <c r="I13" i="2"/>
  <c r="H13" i="2"/>
  <c r="G13" i="2"/>
  <c r="F13" i="2"/>
  <c r="E13" i="2"/>
  <c r="D13" i="2"/>
  <c r="D4" i="1" s="1"/>
  <c r="C13" i="2"/>
  <c r="B13" i="2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S7" i="1"/>
  <c r="AR7" i="1"/>
  <c r="AQ7" i="1"/>
  <c r="AP7" i="1"/>
  <c r="AO7" i="1"/>
  <c r="AM7" i="1"/>
  <c r="AL7" i="1"/>
  <c r="AK7" i="1"/>
  <c r="AJ7" i="1"/>
  <c r="AI7" i="1"/>
  <c r="AH7" i="1"/>
  <c r="AG7" i="1"/>
  <c r="AE7" i="1"/>
  <c r="AD7" i="1"/>
  <c r="AC7" i="1"/>
  <c r="AB7" i="1"/>
  <c r="AA7" i="1"/>
  <c r="Z7" i="1"/>
  <c r="Y7" i="1"/>
  <c r="W7" i="1"/>
  <c r="V7" i="1"/>
  <c r="U7" i="1"/>
  <c r="T7" i="1"/>
  <c r="S7" i="1"/>
  <c r="R7" i="1"/>
  <c r="Q7" i="1"/>
  <c r="O7" i="1"/>
  <c r="N7" i="1"/>
  <c r="M7" i="1"/>
  <c r="L7" i="1"/>
  <c r="K7" i="1"/>
  <c r="J7" i="1"/>
  <c r="I7" i="1"/>
  <c r="G7" i="1"/>
  <c r="F7" i="1"/>
  <c r="E7" i="1"/>
  <c r="D7" i="1"/>
  <c r="C7" i="1"/>
  <c r="B7" i="1"/>
  <c r="AS6" i="1"/>
  <c r="AQ6" i="1"/>
  <c r="AP6" i="1"/>
  <c r="AO6" i="1"/>
  <c r="AN6" i="1"/>
  <c r="AM6" i="1"/>
  <c r="AL6" i="1"/>
  <c r="AK6" i="1"/>
  <c r="AI6" i="1"/>
  <c r="AH6" i="1"/>
  <c r="AG6" i="1"/>
  <c r="AF6" i="1"/>
  <c r="AE6" i="1"/>
  <c r="AD6" i="1"/>
  <c r="AC6" i="1"/>
  <c r="AA6" i="1"/>
  <c r="Z6" i="1"/>
  <c r="Y6" i="1"/>
  <c r="X6" i="1"/>
  <c r="W6" i="1"/>
  <c r="V6" i="1"/>
  <c r="U6" i="1"/>
  <c r="S6" i="1"/>
  <c r="R6" i="1"/>
  <c r="Q6" i="1"/>
  <c r="P6" i="1"/>
  <c r="O6" i="1"/>
  <c r="N6" i="1"/>
  <c r="M6" i="1"/>
  <c r="K6" i="1"/>
  <c r="J6" i="1"/>
  <c r="I6" i="1"/>
  <c r="H6" i="1"/>
  <c r="G6" i="1"/>
  <c r="F6" i="1"/>
  <c r="E6" i="1"/>
  <c r="C6" i="1"/>
  <c r="B6" i="1"/>
  <c r="AS5" i="1"/>
  <c r="AR5" i="1"/>
  <c r="AQ5" i="1"/>
  <c r="AP5" i="1"/>
  <c r="AO5" i="1"/>
  <c r="AM5" i="1"/>
  <c r="AL5" i="1"/>
  <c r="AK5" i="1"/>
  <c r="AJ5" i="1"/>
  <c r="AI5" i="1"/>
  <c r="AH5" i="1"/>
  <c r="AG5" i="1"/>
  <c r="AE5" i="1"/>
  <c r="AD5" i="1"/>
  <c r="AC5" i="1"/>
  <c r="AB5" i="1"/>
  <c r="AA5" i="1"/>
  <c r="Z5" i="1"/>
  <c r="Y5" i="1"/>
  <c r="W5" i="1"/>
  <c r="V5" i="1"/>
  <c r="U5" i="1"/>
  <c r="T5" i="1"/>
  <c r="S5" i="1"/>
  <c r="R5" i="1"/>
  <c r="Q5" i="1"/>
  <c r="O5" i="1"/>
  <c r="N5" i="1"/>
  <c r="M5" i="1"/>
  <c r="L5" i="1"/>
  <c r="K5" i="1"/>
  <c r="J5" i="1"/>
  <c r="I5" i="1"/>
  <c r="G5" i="1"/>
  <c r="F5" i="1"/>
  <c r="E5" i="1"/>
  <c r="D5" i="1"/>
  <c r="C5" i="1"/>
  <c r="B5" i="1"/>
  <c r="AS4" i="1"/>
  <c r="AS8" i="1" s="1"/>
  <c r="AQ4" i="1"/>
  <c r="AQ8" i="1" s="1"/>
  <c r="AP4" i="1"/>
  <c r="AP8" i="1" s="1"/>
  <c r="AO4" i="1"/>
  <c r="AO8" i="1" s="1"/>
  <c r="AO16" i="1" s="1"/>
  <c r="AN4" i="1"/>
  <c r="AM4" i="1"/>
  <c r="AM8" i="1" s="1"/>
  <c r="AM16" i="1" s="1"/>
  <c r="AL4" i="1"/>
  <c r="AL8" i="1" s="1"/>
  <c r="AL16" i="1" s="1"/>
  <c r="AK4" i="1"/>
  <c r="AK8" i="1" s="1"/>
  <c r="AI4" i="1"/>
  <c r="AI8" i="1" s="1"/>
  <c r="AH4" i="1"/>
  <c r="AH8" i="1" s="1"/>
  <c r="AG4" i="1"/>
  <c r="AG8" i="1" s="1"/>
  <c r="AG16" i="1" s="1"/>
  <c r="AF4" i="1"/>
  <c r="AE4" i="1"/>
  <c r="AE8" i="1" s="1"/>
  <c r="AE16" i="1" s="1"/>
  <c r="AD4" i="1"/>
  <c r="AD8" i="1" s="1"/>
  <c r="AD16" i="1" s="1"/>
  <c r="AC4" i="1"/>
  <c r="AC8" i="1" s="1"/>
  <c r="AA4" i="1"/>
  <c r="AA8" i="1" s="1"/>
  <c r="Z4" i="1"/>
  <c r="Z8" i="1" s="1"/>
  <c r="Y4" i="1"/>
  <c r="Y8" i="1" s="1"/>
  <c r="Y16" i="1" s="1"/>
  <c r="X4" i="1"/>
  <c r="W4" i="1"/>
  <c r="W8" i="1" s="1"/>
  <c r="W16" i="1" s="1"/>
  <c r="V4" i="1"/>
  <c r="V8" i="1" s="1"/>
  <c r="V16" i="1" s="1"/>
  <c r="U4" i="1"/>
  <c r="U8" i="1" s="1"/>
  <c r="Q4" i="1"/>
  <c r="Q8" i="1" s="1"/>
  <c r="Q16" i="1" s="1"/>
  <c r="P4" i="1"/>
  <c r="O4" i="1"/>
  <c r="O8" i="1" s="1"/>
  <c r="O16" i="1" s="1"/>
  <c r="N4" i="1"/>
  <c r="N8" i="1" s="1"/>
  <c r="N16" i="1" s="1"/>
  <c r="M4" i="1"/>
  <c r="M8" i="1" s="1"/>
  <c r="K4" i="1"/>
  <c r="K8" i="1" s="1"/>
  <c r="J4" i="1"/>
  <c r="J8" i="1" s="1"/>
  <c r="I4" i="1"/>
  <c r="I8" i="1" s="1"/>
  <c r="I16" i="1" s="1"/>
  <c r="H4" i="1"/>
  <c r="G4" i="1"/>
  <c r="G8" i="1" s="1"/>
  <c r="G16" i="1" s="1"/>
  <c r="F4" i="1"/>
  <c r="F8" i="1" s="1"/>
  <c r="F16" i="1" s="1"/>
  <c r="E4" i="1"/>
  <c r="E8" i="1" s="1"/>
  <c r="C4" i="1"/>
  <c r="C8" i="1" s="1"/>
  <c r="B4" i="1"/>
  <c r="B8" i="1" s="1"/>
  <c r="M16" i="1" l="1"/>
  <c r="AH16" i="1"/>
  <c r="AP16" i="1"/>
  <c r="D8" i="1"/>
  <c r="S8" i="1"/>
  <c r="T8" i="1"/>
  <c r="AB8" i="1"/>
  <c r="AJ8" i="1"/>
  <c r="AR8" i="1"/>
  <c r="R8" i="1"/>
  <c r="R16" i="1" s="1"/>
  <c r="H8" i="1"/>
  <c r="H16" i="1" s="1"/>
  <c r="AF8" i="1"/>
  <c r="AF16" i="1" s="1"/>
  <c r="J16" i="1"/>
  <c r="Z16" i="1"/>
  <c r="AN8" i="1"/>
  <c r="AN16" i="1" s="1"/>
  <c r="E16" i="1"/>
  <c r="T16" i="1"/>
  <c r="AJ16" i="1"/>
  <c r="AR16" i="1"/>
  <c r="U16" i="1"/>
  <c r="AC16" i="1"/>
  <c r="AK16" i="1"/>
  <c r="AS16" i="1"/>
  <c r="P8" i="1"/>
  <c r="P16" i="1" s="1"/>
  <c r="D16" i="1"/>
  <c r="AB16" i="1"/>
  <c r="X8" i="1"/>
  <c r="X16" i="1" s="1"/>
  <c r="C16" i="1"/>
  <c r="K16" i="1"/>
  <c r="S16" i="1"/>
  <c r="AA16" i="1"/>
  <c r="AI16" i="1"/>
  <c r="AQ16" i="1"/>
  <c r="L8" i="1"/>
  <c r="L16" i="1" s="1"/>
  <c r="B16" i="1"/>
  <c r="F9" i="7"/>
</calcChain>
</file>

<file path=xl/sharedStrings.xml><?xml version="1.0" encoding="utf-8"?>
<sst xmlns="http://schemas.openxmlformats.org/spreadsheetml/2006/main" count="530" uniqueCount="129">
  <si>
    <t>2025</t>
  </si>
  <si>
    <t>2026</t>
  </si>
  <si>
    <t>2027</t>
  </si>
  <si>
    <t>2028</t>
  </si>
  <si>
    <t>Marzo 2025</t>
  </si>
  <si>
    <t>Abril 2025</t>
  </si>
  <si>
    <t>Mayo 2025</t>
  </si>
  <si>
    <t>Junio 2025</t>
  </si>
  <si>
    <t>Julio 2025</t>
  </si>
  <si>
    <t>Agosto 2025</t>
  </si>
  <si>
    <t>Septiembre 2025</t>
  </si>
  <si>
    <t>Octubre 2025</t>
  </si>
  <si>
    <t>Noviembre 2025</t>
  </si>
  <si>
    <t>Diciembre 2025</t>
  </si>
  <si>
    <t>Enero 2026</t>
  </si>
  <si>
    <t>Febrero 2026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</si>
  <si>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</si>
  <si>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</si>
  <si>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</si>
  <si>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</si>
  <si>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</si>
  <si>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</si>
  <si>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</si>
  <si>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</si>
  <si>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</si>
  <si>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</si>
  <si>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</si>
  <si>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Febrero 2027</t>
  </si>
  <si>
    <t>Marzo 2027</t>
  </si>
  <si>
    <t>Abril 2027</t>
  </si>
  <si>
    <t>Mayo 2027</t>
  </si>
  <si>
    <t>Junio 2027</t>
  </si>
  <si>
    <t>Julio 2027</t>
  </si>
  <si>
    <t>Agosto 2027</t>
  </si>
  <si>
    <t>Septiembre 2027</t>
  </si>
  <si>
    <t>Octubre 2027</t>
  </si>
  <si>
    <t>Noviembre 2027</t>
  </si>
  <si>
    <t>Diciembre 2027</t>
  </si>
  <si>
    <t>Enero 2028</t>
  </si>
  <si>
    <t>Febrero 2028</t>
  </si>
  <si>
    <t>Marzo 2028</t>
  </si>
  <si>
    <t>Abril 2028</t>
  </si>
  <si>
    <t>Mayo 2028</t>
  </si>
  <si>
    <t>Junio 2028</t>
  </si>
  <si>
    <t>Julio 2028</t>
  </si>
  <si>
    <t>Agosto 2028</t>
  </si>
  <si>
    <t>Septiembre 2028</t>
  </si>
  <si>
    <t>Octubre 2028</t>
  </si>
  <si>
    <t>📊 RESUMEN DE GASTOS</t>
  </si>
  <si>
    <t>Tarjetas &amp; Bancos</t>
  </si>
  <si>
    <t>Gastos Personales</t>
  </si>
  <si>
    <t>Hogar</t>
  </si>
  <si>
    <t>Deudas &amp; Varios</t>
  </si>
  <si>
    <t>TOTAL GASTOS</t>
  </si>
  <si>
    <t>💰 INGRESOS</t>
  </si>
  <si>
    <t>Ingreso Franco</t>
  </si>
  <si>
    <t>Ingreso Abi</t>
  </si>
  <si>
    <t>Pago de negocio</t>
  </si>
  <si>
    <t>Ingreso por rendimientos</t>
  </si>
  <si>
    <t>Nos deben</t>
  </si>
  <si>
    <t>TOTAL INGRESOS</t>
  </si>
  <si>
    <t>¿LLEGAMOS A PAGAR?</t>
  </si>
  <si>
    <t>💳 TARJETAS &amp; BANCOS</t>
  </si>
  <si>
    <t>Banco BBVA</t>
  </si>
  <si>
    <t>Banco Mercado Pago</t>
  </si>
  <si>
    <t>Préstamo BBVA</t>
  </si>
  <si>
    <t>Préstamo Naranja X</t>
  </si>
  <si>
    <t>Banco Naranja X</t>
  </si>
  <si>
    <t>Banco Santander</t>
  </si>
  <si>
    <t>Banco BNA (Franco)</t>
  </si>
  <si>
    <t>Banco BNA (Abi)</t>
  </si>
  <si>
    <t>GO Cuotas (Abi)</t>
  </si>
  <si>
    <t>TOTAL</t>
  </si>
  <si>
    <t>🎓 GASTOS PERSONALES</t>
  </si>
  <si>
    <t>Materias Abi</t>
  </si>
  <si>
    <t>Materias Franco</t>
  </si>
  <si>
    <t>Gimnasio Franco</t>
  </si>
  <si>
    <t>Gimnasio Abi</t>
  </si>
  <si>
    <t>Facultad Franco</t>
  </si>
  <si>
    <t>Facultad Abi</t>
  </si>
  <si>
    <t>🏠 GASTOS DEL HOGAR</t>
  </si>
  <si>
    <t>Internet</t>
  </si>
  <si>
    <t>Expensas</t>
  </si>
  <si>
    <t>Electricidad</t>
  </si>
  <si>
    <t>Cuenta Corriente</t>
  </si>
  <si>
    <t>Línea Celular</t>
  </si>
  <si>
    <t>Transporte</t>
  </si>
  <si>
    <t>Impuesto Municipal</t>
  </si>
  <si>
    <t>📋 DEUDAS &amp; GASTOS VARIOS</t>
  </si>
  <si>
    <t>Papá</t>
  </si>
  <si>
    <t>Juani</t>
  </si>
  <si>
    <t>Leo</t>
  </si>
  <si>
    <t>Entradas a casamiento</t>
  </si>
  <si>
    <t>Gastos Varios</t>
  </si>
  <si>
    <t>Aguinaldos Franco</t>
  </si>
  <si>
    <t>Mes adelantado + % contrato</t>
  </si>
  <si>
    <t>-</t>
  </si>
  <si>
    <t>Alquier (Agua y Cloaca)</t>
  </si>
  <si>
    <t>Alquiler</t>
  </si>
  <si>
    <t>📌 DATOS DE REFERENCIA - ALQUILERES</t>
  </si>
  <si>
    <t>Concepto</t>
  </si>
  <si>
    <t>Alquiler Actual</t>
  </si>
  <si>
    <t>Alquiler E. Vieja</t>
  </si>
  <si>
    <t>Diferencia</t>
  </si>
  <si>
    <t>🎯 PLAN DE OBJETIVOS FINANCIEROS — SECUENCIAL</t>
  </si>
  <si>
    <t>📐 SUPUESTO: Ahorro mensual destinado a objetivos</t>
  </si>
  <si>
    <t>Ahorro mensual ($)</t>
  </si>
  <si>
    <t>← Modificar cada mes según tu ahorro real</t>
  </si>
  <si>
    <t>OBJETIVO</t>
  </si>
  <si>
    <t>PRIORIDAD</t>
  </si>
  <si>
    <t>FECHA LIMITE</t>
  </si>
  <si>
    <t>MONTO META ($)</t>
  </si>
  <si>
    <t>YA AHORRADO ($)</t>
  </si>
  <si>
    <t>FALTANTE ($)</t>
  </si>
  <si>
    <t>% AVANCE</t>
  </si>
  <si>
    <t>MESES RESTANTES</t>
  </si>
  <si>
    <t>ESTADO</t>
  </si>
  <si>
    <t>CIUDADANÍA (TRADUCCIÓN)</t>
  </si>
  <si>
    <t>nov-26</t>
  </si>
  <si>
    <t>CIUDADANÍA (EMBAJADA)</t>
  </si>
  <si>
    <t>mar-27</t>
  </si>
  <si>
    <t>INVERSIÓN S&amp;P 500</t>
  </si>
  <si>
    <t>Sin fecha</t>
  </si>
  <si>
    <t>"-"</t>
  </si>
  <si>
    <t>TOTAL OBJETIVOS FIJOS</t>
  </si>
  <si>
    <t>📋 LÓGICA SECUENCIAL</t>
  </si>
  <si>
    <t>1. Ahorrás $200.000/mes → Traducción cubierta en ~2-3 meses (nov-26)</t>
  </si>
  <si>
    <t>2. Pagada la Traducción en nov-26 → seguís ahorrando $200.000/mes → Embajada cubierta en mar-27</t>
  </si>
  <si>
    <t>3. Cumplidos ambos objetivos → el ahorro mensual se destina libre a Inversión S&amp;P 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</si>
</sst>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;\-;\-"/>
  </numFmts>
  <fonts count="18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1"/>
      <name val="Arial"/>
      <charset val="1"/>
    </font>
    <font>
      <b/>
      <sz val="10"/>
      <name val="Arial"/>
      <charset val="1"/>
    </font>
    <font>
      <b/>
      <sz val="10"/>
      <color rgb="FFC00000"/>
      <name val="Arial"/>
      <charset val="1"/>
    </font>
    <font>
      <b/>
      <sz val="10"/>
      <color rgb="FF375623"/>
      <name val="Arial"/>
      <charset val="1"/>
    </font>
    <font>
      <b/>
      <sz val="13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0"/>
      <color rgb="FF0000FF"/>
      <name val="Arial"/>
    </font>
    <font>
      <sz val="10"/>
      <color rgb="FF808080"/>
      <name val="Arial"/>
    </font>
    <font>
      <b/>
      <sz val="10"/>
      <name val="Arial"/>
    </font>
    <font>
      <sz val="10"/>
      <color rgb="FF1F3864"/>
      <name val="Arial"/>
    </font>
  </fonts>
  <fills count="25">
    <fill>
      <patternFill patternType="none"/>
    </fill>
    <fill>
      <patternFill patternType="gray125"/>
    </fill>
    <fill>
      <patternFill patternType="solid">
        <fgColor rgb="FF1F3864"/>
        <bgColor rgb="FF2E5090"/>
      </patternFill>
    </fill>
    <fill>
      <patternFill patternType="solid">
        <fgColor rgb="FF2E5090"/>
        <bgColor rgb="FF1F3864"/>
      </patternFill>
    </fill>
    <fill>
      <patternFill patternType="solid">
        <fgColor rgb="FFD6E4F0"/>
        <bgColor rgb="FFD5E8D4"/>
      </patternFill>
    </fill>
    <fill>
      <patternFill patternType="solid">
        <fgColor rgb="FFD5E8D4"/>
        <bgColor rgb="FFD6E4F0"/>
      </patternFill>
    </fill>
    <fill>
      <patternFill patternType="solid">
        <fgColor rgb="FFFCE4D6"/>
        <bgColor rgb="FFFFE0E0"/>
      </patternFill>
    </fill>
    <fill>
      <patternFill patternType="solid">
        <fgColor rgb="FFEAD1DC"/>
        <bgColor rgb="FFFFE0E0"/>
      </patternFill>
    </fill>
    <fill>
      <patternFill patternType="solid">
        <fgColor rgb="FFE8E8E8"/>
        <bgColor rgb="FFD6E4F0"/>
      </patternFill>
    </fill>
    <fill>
      <patternFill patternType="solid">
        <fgColor rgb="FF1E5631"/>
        <bgColor rgb="FF375623"/>
      </patternFill>
    </fill>
    <fill>
      <patternFill patternType="solid">
        <fgColor rgb="FFFFF2CC"/>
        <bgColor rgb="FFFCE4D6"/>
      </patternFill>
    </fill>
    <fill>
      <patternFill patternType="solid">
        <fgColor rgb="FFFFE0E0"/>
        <bgColor rgb="FFFCE4D6"/>
      </patternFill>
    </fill>
    <fill>
      <patternFill patternType="solid">
        <fgColor rgb="FFB8D4E8"/>
        <bgColor rgb="FFD6E4F0"/>
      </patternFill>
    </fill>
    <fill>
      <patternFill patternType="solid">
        <fgColor rgb="FFA8D4A8"/>
        <bgColor rgb="FFB8D4E8"/>
      </patternFill>
    </fill>
    <fill>
      <patternFill patternType="solid">
        <fgColor rgb="FFC65911"/>
        <bgColor rgb="FF993300"/>
      </patternFill>
    </fill>
    <fill>
      <patternFill patternType="solid">
        <fgColor rgb="FFF4C4A0"/>
        <bgColor rgb="FFEAD1DC"/>
      </patternFill>
    </fill>
    <fill>
      <patternFill patternType="solid">
        <fgColor rgb="FF4B0082"/>
        <bgColor rgb="FF800080"/>
      </patternFill>
    </fill>
    <fill>
      <patternFill patternType="solid">
        <fgColor rgb="FFD4A8C8"/>
        <bgColor rgb="FFAAAAAA"/>
      </patternFill>
    </fill>
    <fill>
      <patternFill patternType="solid">
        <fgColor rgb="FF1F3864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D5E8D4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8E8E8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2" fillId="20" borderId="1" xfId="0" applyFont="1" applyFill="1" applyBorder="1" applyAlignment="1">
      <alignment horizontal="left" vertical="center"/>
    </xf>
    <xf numFmtId="0" fontId="13" fillId="20" borderId="1" xfId="0" applyFont="1" applyFill="1" applyBorder="1" applyAlignment="1">
      <alignment horizontal="center" vertical="center"/>
    </xf>
    <xf numFmtId="164" fontId="14" fillId="20" borderId="1" xfId="0" applyNumberFormat="1" applyFont="1" applyFill="1" applyBorder="1" applyAlignment="1">
      <alignment horizontal="right" vertical="center"/>
    </xf>
    <xf numFmtId="164" fontId="13" fillId="20" borderId="1" xfId="0" applyNumberFormat="1" applyFont="1" applyFill="1" applyBorder="1" applyAlignment="1">
      <alignment horizontal="right" vertical="center"/>
    </xf>
    <xf numFmtId="165" fontId="13" fillId="20" borderId="1" xfId="0" applyNumberFormat="1" applyFont="1" applyFill="1" applyBorder="1" applyAlignment="1">
      <alignment horizontal="right" vertical="center"/>
    </xf>
    <xf numFmtId="0" fontId="13" fillId="20" borderId="1" xfId="0" applyFont="1" applyFill="1" applyBorder="1" applyAlignment="1">
      <alignment horizontal="right" vertical="center"/>
    </xf>
    <xf numFmtId="0" fontId="12" fillId="21" borderId="1" xfId="0" applyFont="1" applyFill="1" applyBorder="1" applyAlignment="1">
      <alignment horizontal="left" vertical="center"/>
    </xf>
    <xf numFmtId="0" fontId="13" fillId="21" borderId="1" xfId="0" applyFont="1" applyFill="1" applyBorder="1" applyAlignment="1">
      <alignment horizontal="center" vertical="center"/>
    </xf>
    <xf numFmtId="164" fontId="14" fillId="21" borderId="1" xfId="0" applyNumberFormat="1" applyFont="1" applyFill="1" applyBorder="1" applyAlignment="1">
      <alignment horizontal="right" vertical="center"/>
    </xf>
    <xf numFmtId="164" fontId="13" fillId="21" borderId="1" xfId="0" applyNumberFormat="1" applyFont="1" applyFill="1" applyBorder="1" applyAlignment="1">
      <alignment horizontal="right" vertical="center"/>
    </xf>
    <xf numFmtId="165" fontId="13" fillId="21" borderId="1" xfId="0" applyNumberFormat="1" applyFont="1" applyFill="1" applyBorder="1" applyAlignment="1">
      <alignment horizontal="right" vertical="center"/>
    </xf>
    <xf numFmtId="0" fontId="13" fillId="21" borderId="1" xfId="0" applyFont="1" applyFill="1" applyBorder="1" applyAlignment="1">
      <alignment horizontal="right" vertical="center"/>
    </xf>
    <xf numFmtId="0" fontId="12" fillId="22" borderId="1" xfId="0" applyFont="1" applyFill="1" applyBorder="1" applyAlignment="1">
      <alignment horizontal="left" vertical="center"/>
    </xf>
    <xf numFmtId="0" fontId="13" fillId="22" borderId="1" xfId="0" applyFont="1" applyFill="1" applyBorder="1" applyAlignment="1">
      <alignment horizontal="center" vertical="center"/>
    </xf>
    <xf numFmtId="164" fontId="14" fillId="22" borderId="1" xfId="0" applyNumberFormat="1" applyFont="1" applyFill="1" applyBorder="1" applyAlignment="1">
      <alignment horizontal="right" vertical="center"/>
    </xf>
    <xf numFmtId="164" fontId="13" fillId="22" borderId="1" xfId="0" applyNumberFormat="1" applyFont="1" applyFill="1" applyBorder="1" applyAlignment="1">
      <alignment horizontal="right" vertical="center"/>
    </xf>
    <xf numFmtId="165" fontId="13" fillId="22" borderId="1" xfId="0" applyNumberFormat="1" applyFont="1" applyFill="1" applyBorder="1" applyAlignment="1">
      <alignment horizontal="right" vertical="center"/>
    </xf>
    <xf numFmtId="0" fontId="13" fillId="22" borderId="1" xfId="0" applyFont="1" applyFill="1" applyBorder="1" applyAlignment="1">
      <alignment horizontal="right" vertical="center"/>
    </xf>
    <xf numFmtId="164" fontId="14" fillId="23" borderId="1" xfId="0" applyNumberFormat="1" applyFont="1" applyFill="1" applyBorder="1" applyAlignment="1">
      <alignment horizontal="right" vertical="center"/>
    </xf>
    <xf numFmtId="0" fontId="12" fillId="23" borderId="1" xfId="0" applyFont="1" applyFill="1" applyBorder="1" applyAlignment="1">
      <alignment horizontal="left" vertical="center"/>
    </xf>
    <xf numFmtId="164" fontId="16" fillId="24" borderId="1" xfId="0" applyNumberFormat="1" applyFont="1" applyFill="1" applyBorder="1" applyAlignment="1">
      <alignment horizontal="right" vertical="center"/>
    </xf>
    <xf numFmtId="0" fontId="0" fillId="0" borderId="0" xfId="0"/>
    <xf numFmtId="0" fontId="4" fillId="4" borderId="1" xfId="0" applyFont="1" applyFill="1" applyBorder="1" applyAlignment="1">
      <alignment horizontal="left" vertical="center"/>
    </xf>
    <xf numFmtId="164" fontId="5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/>
    </xf>
    <xf numFmtId="164" fontId="5" fillId="5" borderId="1" xfId="0" applyNumberFormat="1" applyFont="1" applyFill="1" applyBorder="1" applyAlignment="1">
      <alignment horizontal="right" vertical="center"/>
    </xf>
    <xf numFmtId="0" fontId="4" fillId="6" borderId="1" xfId="0" applyFont="1" applyFill="1" applyBorder="1" applyAlignment="1">
      <alignment horizontal="left" vertical="center"/>
    </xf>
    <xf numFmtId="164" fontId="5" fillId="6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left" vertical="center"/>
    </xf>
    <xf numFmtId="164" fontId="5" fillId="7" borderId="1" xfId="0" applyNumberFormat="1" applyFont="1" applyFill="1" applyBorder="1" applyAlignment="1">
      <alignment horizontal="right" vertical="center"/>
    </xf>
    <xf numFmtId="0" fontId="6" fillId="8" borderId="1" xfId="0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6" fillId="10" borderId="1" xfId="0" applyFont="1" applyFill="1" applyBorder="1" applyAlignment="1">
      <alignment horizontal="left" vertical="center"/>
    </xf>
    <xf numFmtId="164" fontId="8" fillId="11" borderId="1" xfId="0" applyNumberFormat="1" applyFont="1" applyFill="1" applyBorder="1" applyAlignment="1">
      <alignment horizontal="right" vertical="center"/>
    </xf>
    <xf numFmtId="164" fontId="9" fillId="5" borderId="1" xfId="0" applyNumberFormat="1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right" vertical="center"/>
    </xf>
    <xf numFmtId="0" fontId="6" fillId="13" borderId="1" xfId="0" applyFont="1" applyFill="1" applyBorder="1" applyAlignment="1">
      <alignment horizontal="left" vertical="center"/>
    </xf>
    <xf numFmtId="164" fontId="7" fillId="13" borderId="1" xfId="0" applyNumberFormat="1" applyFont="1" applyFill="1" applyBorder="1" applyAlignment="1">
      <alignment horizontal="right" vertical="center"/>
    </xf>
    <xf numFmtId="0" fontId="5" fillId="6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164" fontId="7" fillId="15" borderId="1" xfId="0" applyNumberFormat="1" applyFont="1" applyFill="1" applyBorder="1" applyAlignment="1">
      <alignment horizontal="right" vertical="center"/>
    </xf>
    <xf numFmtId="0" fontId="5" fillId="7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164" fontId="7" fillId="17" borderId="1" xfId="0" applyNumberFormat="1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0" fillId="0" borderId="0" xfId="0" applyAlignment="1"/>
    <xf numFmtId="0" fontId="3" fillId="9" borderId="0" xfId="0" applyFont="1" applyFill="1" applyAlignment="1">
      <alignment horizontal="center" vertical="center" wrapText="1"/>
    </xf>
    <xf numFmtId="0" fontId="3" fillId="14" borderId="0" xfId="0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0" fontId="17" fillId="23" borderId="1" xfId="0" applyFont="1" applyFill="1" applyBorder="1" applyAlignment="1">
      <alignment horizontal="left" vertical="center"/>
    </xf>
    <xf numFmtId="0" fontId="10" fillId="18" borderId="1" xfId="0" applyFont="1" applyFill="1" applyBorder="1" applyAlignment="1">
      <alignment horizontal="center" vertical="center" wrapText="1"/>
    </xf>
    <xf numFmtId="0" fontId="12" fillId="24" borderId="1" xfId="0" applyFont="1" applyFill="1" applyBorder="1" applyAlignment="1">
      <alignment horizontal="right" vertical="center"/>
    </xf>
    <xf numFmtId="0" fontId="11" fillId="19" borderId="1" xfId="0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vertical="center" wrapText="1"/>
    </xf>
    <xf numFmtId="0" fontId="15" fillId="23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4A8C8"/>
      <rgbColor rgb="FF808080"/>
      <rgbColor rgb="FF9999FF"/>
      <rgbColor rgb="FF993366"/>
      <rgbColor rgb="FFFFF2CC"/>
      <rgbColor rgb="FFD6E4F0"/>
      <rgbColor rgb="FF4B0082"/>
      <rgbColor rgb="FFFF8080"/>
      <rgbColor rgb="FF0066CC"/>
      <rgbColor rgb="FFB8D4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5E8D4"/>
      <rgbColor rgb="FFFCE4D6"/>
      <rgbColor rgb="FFA8D4A8"/>
      <rgbColor rgb="FFEAD1DC"/>
      <rgbColor rgb="FFFFE0E0"/>
      <rgbColor rgb="FFF4C4A0"/>
      <rgbColor rgb="FF3366FF"/>
      <rgbColor rgb="FF33CCCC"/>
      <rgbColor rgb="FF99CC00"/>
      <rgbColor rgb="FFFFCC00"/>
      <rgbColor rgb="FFFF9900"/>
      <rgbColor rgb="FFC65911"/>
      <rgbColor rgb="FF666699"/>
      <rgbColor rgb="FFAAAAAA"/>
      <rgbColor rgb="FF1F3864"/>
      <rgbColor rgb="FF339966"/>
      <rgbColor rgb="FF003300"/>
      <rgbColor rgb="FF1E5631"/>
      <rgbColor rgb="FF993300"/>
      <rgbColor rgb="FF993366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6"/>
  <sheetViews>
    <sheetView zoomScaleNormal="100" workbookViewId="0">
      <pane xSplit="1" ySplit="2" topLeftCell="O3" activePane="bottomRight" state="frozen"/>
      <selection pane="bottomRight" activeCell="R10" sqref="R10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48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26" t="s">
        <v>49</v>
      </c>
      <c r="B4" s="27">
        <f>Tarjetas_Bancos!B13</f>
        <v>-2307584.0099999998</v>
      </c>
      <c r="C4" s="27">
        <f>Tarjetas_Bancos!C13</f>
        <v>-1341061.69</v>
      </c>
      <c r="D4" s="27">
        <f>Tarjetas_Bancos!D13</f>
        <v>-2287461.69</v>
      </c>
      <c r="E4" s="27">
        <f>Tarjetas_Bancos!E13</f>
        <v>-2689870</v>
      </c>
      <c r="F4" s="27">
        <f>Tarjetas_Bancos!F13</f>
        <v>-2153870</v>
      </c>
      <c r="G4" s="27">
        <f>Tarjetas_Bancos!G13</f>
        <v>-2806870</v>
      </c>
      <c r="H4" s="27">
        <f>Tarjetas_Bancos!H13</f>
        <v>-6759277</v>
      </c>
      <c r="I4" s="27">
        <f>Tarjetas_Bancos!I13</f>
        <v>-1860000</v>
      </c>
      <c r="J4" s="27">
        <f>Tarjetas_Bancos!J13</f>
        <v>-2744000</v>
      </c>
      <c r="K4" s="27">
        <f>Tarjetas_Bancos!K13</f>
        <v>-2611000</v>
      </c>
      <c r="L4" s="27">
        <f>Tarjetas_Bancos!L13</f>
        <v>-1161000</v>
      </c>
      <c r="M4" s="27">
        <f>Tarjetas_Bancos!M13</f>
        <v>-938000</v>
      </c>
      <c r="N4" s="27">
        <f>Tarjetas_Bancos!N13</f>
        <v>-1124000</v>
      </c>
      <c r="O4" s="27">
        <f>Tarjetas_Bancos!O13</f>
        <v>-575000</v>
      </c>
      <c r="P4" s="27">
        <f>Tarjetas_Bancos!P13</f>
        <v>-844000</v>
      </c>
      <c r="Q4" s="27">
        <f>Tarjetas_Bancos!Q13</f>
        <v>-897000</v>
      </c>
      <c r="R4" s="27">
        <f>Tarjetas_Bancos!R13</f>
        <v>-1354000</v>
      </c>
      <c r="S4" s="27">
        <f>Tarjetas_Bancos!S13</f>
        <v>-839000</v>
      </c>
      <c r="T4" s="27">
        <f>Tarjetas_Bancos!T13</f>
        <v>-539000</v>
      </c>
      <c r="U4" s="27">
        <f>Tarjetas_Bancos!U13</f>
        <v>-139000</v>
      </c>
      <c r="V4" s="27">
        <f>Tarjetas_Bancos!V13</f>
        <v>-139000</v>
      </c>
      <c r="W4" s="27">
        <f>Tarjetas_Bancos!W13</f>
        <v>-139000</v>
      </c>
      <c r="X4" s="27">
        <f>Tarjetas_Bancos!X13</f>
        <v>-139000</v>
      </c>
      <c r="Y4" s="27">
        <f>Tarjetas_Bancos!Y13</f>
        <v>-139000</v>
      </c>
      <c r="Z4" s="27">
        <f>Tarjetas_Bancos!Z13</f>
        <v>-139000</v>
      </c>
      <c r="AA4" s="27">
        <f>Tarjetas_Bancos!AA13</f>
        <v>-139000</v>
      </c>
      <c r="AB4" s="27">
        <f>Tarjetas_Bancos!AB13</f>
        <v>-139000</v>
      </c>
      <c r="AC4" s="27">
        <f>Tarjetas_Bancos!AC13</f>
        <v>-139000</v>
      </c>
      <c r="AD4" s="27">
        <f>Tarjetas_Bancos!AD13</f>
        <v>-139000</v>
      </c>
      <c r="AE4" s="27">
        <f>Tarjetas_Bancos!AE13</f>
        <v>-139000</v>
      </c>
      <c r="AF4" s="27">
        <f>Tarjetas_Bancos!AF13</f>
        <v>-139000</v>
      </c>
      <c r="AG4" s="27">
        <f>Tarjetas_Bancos!AG13</f>
        <v>-139000</v>
      </c>
      <c r="AH4" s="27">
        <f>Tarjetas_Bancos!AH13</f>
        <v>-139000</v>
      </c>
      <c r="AI4" s="27">
        <f>Tarjetas_Bancos!AI13</f>
        <v>-139000</v>
      </c>
      <c r="AJ4" s="27">
        <f>Tarjetas_Bancos!AJ13</f>
        <v>0</v>
      </c>
      <c r="AK4" s="27">
        <f>Tarjetas_Bancos!AK13</f>
        <v>0</v>
      </c>
      <c r="AL4" s="27">
        <f>Tarjetas_Bancos!AL13</f>
        <v>0</v>
      </c>
      <c r="AM4" s="27">
        <f>Tarjetas_Bancos!AM13</f>
        <v>0</v>
      </c>
      <c r="AN4" s="27">
        <f>Tarjetas_Bancos!AN13</f>
        <v>0</v>
      </c>
      <c r="AO4" s="27">
        <f>Tarjetas_Bancos!AO13</f>
        <v>0</v>
      </c>
      <c r="AP4" s="27">
        <f>Tarjetas_Bancos!AP13</f>
        <v>0</v>
      </c>
      <c r="AQ4" s="27">
        <f>Tarjetas_Bancos!AQ13</f>
        <v>0</v>
      </c>
      <c r="AR4" s="27">
        <f>Tarjetas_Bancos!AR13</f>
        <v>0</v>
      </c>
      <c r="AS4" s="27">
        <f>Tarjetas_Bancos!AS13</f>
        <v>0</v>
      </c>
    </row>
    <row r="5" spans="1:45" ht="18" customHeight="1">
      <c r="A5" s="28" t="s">
        <v>50</v>
      </c>
      <c r="B5" s="29">
        <f>Gastos_Personales!B10</f>
        <v>0</v>
      </c>
      <c r="C5" s="29">
        <f>Gastos_Personales!C10</f>
        <v>0</v>
      </c>
      <c r="D5" s="29">
        <f>Gastos_Personales!D10</f>
        <v>0</v>
      </c>
      <c r="E5" s="29">
        <f>Gastos_Personales!E10</f>
        <v>0</v>
      </c>
      <c r="F5" s="29">
        <f>Gastos_Personales!F10</f>
        <v>0</v>
      </c>
      <c r="G5" s="29">
        <f>Gastos_Personales!G10</f>
        <v>0</v>
      </c>
      <c r="H5" s="29">
        <f>Gastos_Personales!H10</f>
        <v>0</v>
      </c>
      <c r="I5" s="29">
        <f>Gastos_Personales!I10</f>
        <v>-70000</v>
      </c>
      <c r="J5" s="29">
        <f>Gastos_Personales!J10</f>
        <v>0</v>
      </c>
      <c r="K5" s="29">
        <f>Gastos_Personales!K10</f>
        <v>0</v>
      </c>
      <c r="L5" s="29">
        <f>Gastos_Personales!L10</f>
        <v>0</v>
      </c>
      <c r="M5" s="29">
        <f>Gastos_Personales!M10</f>
        <v>-39000</v>
      </c>
      <c r="N5" s="29">
        <f>Gastos_Personales!N10</f>
        <v>-39000</v>
      </c>
      <c r="O5" s="29">
        <f>Gastos_Personales!O10</f>
        <v>0</v>
      </c>
      <c r="P5" s="29">
        <f>Gastos_Personales!P10</f>
        <v>0</v>
      </c>
      <c r="Q5" s="29">
        <f>Gastos_Personales!Q10</f>
        <v>-180000</v>
      </c>
      <c r="R5" s="29">
        <f>Gastos_Personales!R10</f>
        <v>-360000</v>
      </c>
      <c r="S5" s="29">
        <f>Gastos_Personales!S10</f>
        <v>-210000</v>
      </c>
      <c r="T5" s="29">
        <f>Gastos_Personales!T10</f>
        <v>-180000</v>
      </c>
      <c r="U5" s="29">
        <f>Gastos_Personales!U10</f>
        <v>-180000</v>
      </c>
      <c r="V5" s="29">
        <f>Gastos_Personales!V10</f>
        <v>-180000</v>
      </c>
      <c r="W5" s="29">
        <f>Gastos_Personales!W10</f>
        <v>-180000</v>
      </c>
      <c r="X5" s="29">
        <f>Gastos_Personales!X10</f>
        <v>0</v>
      </c>
      <c r="Y5" s="29">
        <f>Gastos_Personales!Y10</f>
        <v>0</v>
      </c>
      <c r="Z5" s="29">
        <f>Gastos_Personales!Z10</f>
        <v>0</v>
      </c>
      <c r="AA5" s="29">
        <f>Gastos_Personales!AA10</f>
        <v>0</v>
      </c>
      <c r="AB5" s="29">
        <f>Gastos_Personales!AB10</f>
        <v>0</v>
      </c>
      <c r="AC5" s="29">
        <f>Gastos_Personales!AC10</f>
        <v>0</v>
      </c>
      <c r="AD5" s="29">
        <f>Gastos_Personales!AD10</f>
        <v>0</v>
      </c>
      <c r="AE5" s="29">
        <f>Gastos_Personales!AE10</f>
        <v>0</v>
      </c>
      <c r="AF5" s="29">
        <f>Gastos_Personales!AF10</f>
        <v>0</v>
      </c>
      <c r="AG5" s="29">
        <f>Gastos_Personales!AG10</f>
        <v>0</v>
      </c>
      <c r="AH5" s="29">
        <f>Gastos_Personales!AH10</f>
        <v>0</v>
      </c>
      <c r="AI5" s="29">
        <f>Gastos_Personales!AI10</f>
        <v>0</v>
      </c>
      <c r="AJ5" s="29">
        <f>Gastos_Personales!AJ10</f>
        <v>0</v>
      </c>
      <c r="AK5" s="29">
        <f>Gastos_Personales!AK10</f>
        <v>0</v>
      </c>
      <c r="AL5" s="29">
        <f>Gastos_Personales!AL10</f>
        <v>0</v>
      </c>
      <c r="AM5" s="29">
        <f>Gastos_Personales!AM10</f>
        <v>0</v>
      </c>
      <c r="AN5" s="29">
        <f>Gastos_Personales!AN10</f>
        <v>0</v>
      </c>
      <c r="AO5" s="29">
        <f>Gastos_Personales!AO10</f>
        <v>0</v>
      </c>
      <c r="AP5" s="29">
        <f>Gastos_Personales!AP10</f>
        <v>0</v>
      </c>
      <c r="AQ5" s="29">
        <f>Gastos_Personales!AQ10</f>
        <v>0</v>
      </c>
      <c r="AR5" s="29">
        <f>Gastos_Personales!AR10</f>
        <v>0</v>
      </c>
      <c r="AS5" s="29">
        <f>Gastos_Personales!AS10</f>
        <v>0</v>
      </c>
    </row>
    <row r="6" spans="1:45" ht="18" customHeight="1">
      <c r="A6" s="30" t="s">
        <v>51</v>
      </c>
      <c r="B6" s="31">
        <f>Hogar!B11</f>
        <v>0</v>
      </c>
      <c r="C6" s="31">
        <f>Hogar!C11</f>
        <v>0</v>
      </c>
      <c r="D6" s="31">
        <f>Hogar!D11</f>
        <v>0</v>
      </c>
      <c r="E6" s="31">
        <f>Hogar!E11</f>
        <v>-24000</v>
      </c>
      <c r="F6" s="31">
        <f>Hogar!F11</f>
        <v>-247000</v>
      </c>
      <c r="G6" s="31">
        <f>Hogar!G11</f>
        <v>-231200</v>
      </c>
      <c r="H6" s="31">
        <f>Hogar!H11</f>
        <v>-430800</v>
      </c>
      <c r="I6" s="31">
        <f>Hogar!I11</f>
        <v>-419200</v>
      </c>
      <c r="J6" s="31">
        <f>Hogar!J11</f>
        <v>-409300</v>
      </c>
      <c r="K6" s="31">
        <f>Hogar!K11</f>
        <v>-450500</v>
      </c>
      <c r="L6" s="31">
        <f>Hogar!L11</f>
        <v>-340000</v>
      </c>
      <c r="M6" s="31">
        <f>Hogar!M11</f>
        <v>-453600</v>
      </c>
      <c r="N6" s="31">
        <f>Hogar!N11</f>
        <v>-432804</v>
      </c>
      <c r="O6" s="31">
        <f>Hogar!O11</f>
        <v>-342601.26</v>
      </c>
      <c r="P6" s="31">
        <f>Hogar!P11</f>
        <v>-353601.26</v>
      </c>
      <c r="Q6" s="31">
        <f>Hogar!Q11</f>
        <v>-326481.26</v>
      </c>
      <c r="R6" s="31">
        <f>Hogar!R11</f>
        <v>-361481.26</v>
      </c>
      <c r="S6" s="31">
        <f>Hogar!S11</f>
        <v>-391481.26</v>
      </c>
      <c r="T6" s="31">
        <f>Hogar!T11</f>
        <v>-391481.26</v>
      </c>
      <c r="U6" s="31">
        <f>Hogar!U11</f>
        <v>-391481.26</v>
      </c>
      <c r="V6" s="31">
        <f>Hogar!V11</f>
        <v>-391481.26</v>
      </c>
      <c r="W6" s="31">
        <f>Hogar!W11</f>
        <v>-391481.26</v>
      </c>
      <c r="X6" s="31">
        <f>Hogar!X11</f>
        <v>-405601.26</v>
      </c>
      <c r="Y6" s="31">
        <f>Hogar!Y11</f>
        <v>0</v>
      </c>
      <c r="Z6" s="31">
        <f>Hogar!Z11</f>
        <v>0</v>
      </c>
      <c r="AA6" s="31">
        <f>Hogar!AA11</f>
        <v>0</v>
      </c>
      <c r="AB6" s="31">
        <f>Hogar!AB11</f>
        <v>0</v>
      </c>
      <c r="AC6" s="31">
        <f>Hogar!AC11</f>
        <v>0</v>
      </c>
      <c r="AD6" s="31">
        <f>Hogar!AD11</f>
        <v>0</v>
      </c>
      <c r="AE6" s="31">
        <f>Hogar!AE11</f>
        <v>0</v>
      </c>
      <c r="AF6" s="31">
        <f>Hogar!AF11</f>
        <v>0</v>
      </c>
      <c r="AG6" s="31">
        <f>Hogar!AG11</f>
        <v>0</v>
      </c>
      <c r="AH6" s="31">
        <f>Hogar!AH11</f>
        <v>0</v>
      </c>
      <c r="AI6" s="31">
        <f>Hogar!AI11</f>
        <v>0</v>
      </c>
      <c r="AJ6" s="31">
        <f>Hogar!AJ11</f>
        <v>0</v>
      </c>
      <c r="AK6" s="31">
        <f>Hogar!AK11</f>
        <v>0</v>
      </c>
      <c r="AL6" s="31">
        <f>Hogar!AL11</f>
        <v>0</v>
      </c>
      <c r="AM6" s="31">
        <f>Hogar!AM11</f>
        <v>0</v>
      </c>
      <c r="AN6" s="31">
        <f>Hogar!AN11</f>
        <v>0</v>
      </c>
      <c r="AO6" s="31">
        <f>Hogar!AO11</f>
        <v>0</v>
      </c>
      <c r="AP6" s="31">
        <f>Hogar!AP11</f>
        <v>0</v>
      </c>
      <c r="AQ6" s="31">
        <f>Hogar!AQ11</f>
        <v>0</v>
      </c>
      <c r="AR6" s="31">
        <f>Hogar!AR11</f>
        <v>0</v>
      </c>
      <c r="AS6" s="31">
        <f>Hogar!AS11</f>
        <v>0</v>
      </c>
    </row>
    <row r="7" spans="1:45" ht="18" customHeight="1">
      <c r="A7" s="32" t="s">
        <v>52</v>
      </c>
      <c r="B7" s="33">
        <f>Deudas_Varios!B13</f>
        <v>0</v>
      </c>
      <c r="C7" s="33">
        <f>Deudas_Varios!C13</f>
        <v>0</v>
      </c>
      <c r="D7" s="33">
        <f>Deudas_Varios!D13</f>
        <v>0</v>
      </c>
      <c r="E7" s="33">
        <f>Deudas_Varios!E13</f>
        <v>0</v>
      </c>
      <c r="F7" s="33">
        <f>Deudas_Varios!F13</f>
        <v>-640000</v>
      </c>
      <c r="G7" s="33">
        <f>Deudas_Varios!G13</f>
        <v>-380000</v>
      </c>
      <c r="H7" s="33">
        <f>Deudas_Varios!H13</f>
        <v>-380000</v>
      </c>
      <c r="I7" s="33">
        <f>Deudas_Varios!I13</f>
        <v>-402860</v>
      </c>
      <c r="J7" s="33">
        <f>Deudas_Varios!J13</f>
        <v>-402860</v>
      </c>
      <c r="K7" s="33">
        <f>Deudas_Varios!K13</f>
        <v>-37860</v>
      </c>
      <c r="L7" s="33">
        <f>Deudas_Varios!L13</f>
        <v>-467000</v>
      </c>
      <c r="M7" s="33">
        <f>Deudas_Varios!M13</f>
        <v>-469000</v>
      </c>
      <c r="N7" s="33">
        <f>Deudas_Varios!N13</f>
        <v>-470000</v>
      </c>
      <c r="O7" s="33">
        <f>Deudas_Varios!O13</f>
        <v>-505000</v>
      </c>
      <c r="P7" s="33">
        <f>Deudas_Varios!P13</f>
        <v>-505000</v>
      </c>
      <c r="Q7" s="33">
        <f>Deudas_Varios!Q13</f>
        <v>-590000</v>
      </c>
      <c r="R7" s="33">
        <f>Deudas_Varios!R13</f>
        <v>-820000</v>
      </c>
      <c r="S7" s="33">
        <f>Deudas_Varios!S13</f>
        <v>-620000</v>
      </c>
      <c r="T7" s="33">
        <f>Deudas_Varios!T13</f>
        <v>-620000</v>
      </c>
      <c r="U7" s="33">
        <f>Deudas_Varios!U13</f>
        <v>-640000</v>
      </c>
      <c r="V7" s="33">
        <f>Deudas_Varios!V13</f>
        <v>-640000</v>
      </c>
      <c r="W7" s="33">
        <f>Deudas_Varios!W13</f>
        <v>-570000</v>
      </c>
      <c r="X7" s="33">
        <f>Deudas_Varios!X13</f>
        <v>-602000</v>
      </c>
      <c r="Y7" s="33">
        <f>Deudas_Varios!Y13</f>
        <v>0</v>
      </c>
      <c r="Z7" s="33">
        <f>Deudas_Varios!Z13</f>
        <v>-350000</v>
      </c>
      <c r="AA7" s="33">
        <f>Deudas_Varios!AA13</f>
        <v>0</v>
      </c>
      <c r="AB7" s="33">
        <f>Deudas_Varios!AB13</f>
        <v>0</v>
      </c>
      <c r="AC7" s="33">
        <f>Deudas_Varios!AC13</f>
        <v>0</v>
      </c>
      <c r="AD7" s="33">
        <f>Deudas_Varios!AD13</f>
        <v>0</v>
      </c>
      <c r="AE7" s="33">
        <f>Deudas_Varios!AE13</f>
        <v>0</v>
      </c>
      <c r="AF7" s="33">
        <f>Deudas_Varios!AF13</f>
        <v>0</v>
      </c>
      <c r="AG7" s="33">
        <f>Deudas_Varios!AG13</f>
        <v>0</v>
      </c>
      <c r="AH7" s="33">
        <f>Deudas_Varios!AH13</f>
        <v>0</v>
      </c>
      <c r="AI7" s="33">
        <f>Deudas_Varios!AI13</f>
        <v>0</v>
      </c>
      <c r="AJ7" s="33">
        <f>Deudas_Varios!AJ13</f>
        <v>0</v>
      </c>
      <c r="AK7" s="33">
        <f>Deudas_Varios!AK13</f>
        <v>0</v>
      </c>
      <c r="AL7" s="33">
        <f>Deudas_Varios!AL13</f>
        <v>0</v>
      </c>
      <c r="AM7" s="33">
        <f>Deudas_Varios!AM13</f>
        <v>0</v>
      </c>
      <c r="AN7" s="33">
        <f>Deudas_Varios!AN13</f>
        <v>0</v>
      </c>
      <c r="AO7" s="33">
        <f>Deudas_Varios!AO13</f>
        <v>0</v>
      </c>
      <c r="AP7" s="33">
        <f>Deudas_Varios!AP13</f>
        <v>0</v>
      </c>
      <c r="AQ7" s="33">
        <f>Deudas_Varios!AQ13</f>
        <v>0</v>
      </c>
      <c r="AR7" s="33">
        <f>Deudas_Varios!AR13</f>
        <v>0</v>
      </c>
      <c r="AS7" s="33">
        <f>Deudas_Varios!AS13</f>
        <v>0</v>
      </c>
    </row>
    <row r="8" spans="1:45">
      <c r="A8" s="34" t="s">
        <v>53</v>
      </c>
      <c r="B8" s="35">
        <f t="shared" ref="B8:AS8" si="0">SUM(B4:B7)</f>
        <v>-2307584.0099999998</v>
      </c>
      <c r="C8" s="35">
        <f t="shared" si="0"/>
        <v>-1341061.69</v>
      </c>
      <c r="D8" s="35">
        <f t="shared" si="0"/>
        <v>-2287461.69</v>
      </c>
      <c r="E8" s="35">
        <f t="shared" si="0"/>
        <v>-2713870</v>
      </c>
      <c r="F8" s="35">
        <f t="shared" si="0"/>
        <v>-3040870</v>
      </c>
      <c r="G8" s="35">
        <f t="shared" si="0"/>
        <v>-3418070</v>
      </c>
      <c r="H8" s="35">
        <f t="shared" si="0"/>
        <v>-7570077</v>
      </c>
      <c r="I8" s="35">
        <f t="shared" si="0"/>
        <v>-2752060</v>
      </c>
      <c r="J8" s="35">
        <f t="shared" si="0"/>
        <v>-3556160</v>
      </c>
      <c r="K8" s="35">
        <f t="shared" si="0"/>
        <v>-3099360</v>
      </c>
      <c r="L8" s="35">
        <f t="shared" si="0"/>
        <v>-1968000</v>
      </c>
      <c r="M8" s="35">
        <f t="shared" si="0"/>
        <v>-1899600</v>
      </c>
      <c r="N8" s="35">
        <f t="shared" si="0"/>
        <v>-2065804</v>
      </c>
      <c r="O8" s="35">
        <f t="shared" si="0"/>
        <v>-1422601.26</v>
      </c>
      <c r="P8" s="35">
        <f t="shared" si="0"/>
        <v>-1702601.26</v>
      </c>
      <c r="Q8" s="35">
        <f t="shared" si="0"/>
        <v>-1993481.26</v>
      </c>
      <c r="R8" s="35">
        <f t="shared" si="0"/>
        <v>-2895481.26</v>
      </c>
      <c r="S8" s="35">
        <f t="shared" si="0"/>
        <v>-2060481.26</v>
      </c>
      <c r="T8" s="35">
        <f t="shared" si="0"/>
        <v>-1730481.26</v>
      </c>
      <c r="U8" s="35">
        <f t="shared" si="0"/>
        <v>-1350481.26</v>
      </c>
      <c r="V8" s="35">
        <f t="shared" si="0"/>
        <v>-1350481.26</v>
      </c>
      <c r="W8" s="35">
        <f t="shared" si="0"/>
        <v>-1280481.26</v>
      </c>
      <c r="X8" s="35">
        <f t="shared" si="0"/>
        <v>-1146601.26</v>
      </c>
      <c r="Y8" s="35">
        <f t="shared" si="0"/>
        <v>-139000</v>
      </c>
      <c r="Z8" s="35">
        <f t="shared" si="0"/>
        <v>-489000</v>
      </c>
      <c r="AA8" s="35">
        <f t="shared" si="0"/>
        <v>-139000</v>
      </c>
      <c r="AB8" s="35">
        <f t="shared" si="0"/>
        <v>-139000</v>
      </c>
      <c r="AC8" s="35">
        <f t="shared" si="0"/>
        <v>-139000</v>
      </c>
      <c r="AD8" s="35">
        <f t="shared" si="0"/>
        <v>-139000</v>
      </c>
      <c r="AE8" s="35">
        <f t="shared" si="0"/>
        <v>-139000</v>
      </c>
      <c r="AF8" s="35">
        <f t="shared" si="0"/>
        <v>-139000</v>
      </c>
      <c r="AG8" s="35">
        <f t="shared" si="0"/>
        <v>-139000</v>
      </c>
      <c r="AH8" s="35">
        <f t="shared" si="0"/>
        <v>-139000</v>
      </c>
      <c r="AI8" s="35">
        <f t="shared" si="0"/>
        <v>-139000</v>
      </c>
      <c r="AJ8" s="35">
        <f t="shared" si="0"/>
        <v>0</v>
      </c>
      <c r="AK8" s="35">
        <f t="shared" si="0"/>
        <v>0</v>
      </c>
      <c r="AL8" s="35">
        <f t="shared" si="0"/>
        <v>0</v>
      </c>
      <c r="AM8" s="35">
        <f t="shared" si="0"/>
        <v>0</v>
      </c>
      <c r="AN8" s="35">
        <f t="shared" si="0"/>
        <v>0</v>
      </c>
      <c r="AO8" s="35">
        <f t="shared" si="0"/>
        <v>0</v>
      </c>
      <c r="AP8" s="35">
        <f t="shared" si="0"/>
        <v>0</v>
      </c>
      <c r="AQ8" s="35">
        <f t="shared" si="0"/>
        <v>0</v>
      </c>
      <c r="AR8" s="35">
        <f t="shared" si="0"/>
        <v>0</v>
      </c>
      <c r="AS8" s="35">
        <f t="shared" si="0"/>
        <v>0</v>
      </c>
    </row>
    <row r="9" spans="1:45" ht="19.5" customHeight="1">
      <c r="A9" s="56" t="s">
        <v>54</v>
      </c>
      <c r="B9" s="55"/>
      <c r="C9" s="55"/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5"/>
      <c r="AH9" s="55"/>
      <c r="AI9" s="55"/>
      <c r="AJ9" s="55"/>
      <c r="AK9" s="55"/>
      <c r="AL9" s="55"/>
      <c r="AM9" s="55"/>
      <c r="AN9" s="55"/>
      <c r="AO9" s="55"/>
      <c r="AP9" s="55"/>
      <c r="AQ9" s="55"/>
      <c r="AR9" s="55"/>
      <c r="AS9" s="55"/>
    </row>
    <row r="10" spans="1:45" ht="18" customHeight="1">
      <c r="A10" s="36" t="s">
        <v>55</v>
      </c>
      <c r="B10" s="29">
        <v>1100000</v>
      </c>
      <c r="C10" s="29">
        <v>1100000</v>
      </c>
      <c r="D10" s="29">
        <v>1100000</v>
      </c>
      <c r="E10" s="29">
        <v>1200000</v>
      </c>
      <c r="F10" s="29">
        <v>1200000</v>
      </c>
      <c r="G10" s="29">
        <v>1200000</v>
      </c>
      <c r="H10" s="29">
        <v>1160000</v>
      </c>
      <c r="I10" s="29">
        <v>1170000</v>
      </c>
      <c r="J10" s="29">
        <v>1250000</v>
      </c>
      <c r="K10" s="29">
        <v>1200000</v>
      </c>
      <c r="L10" s="29">
        <v>1250000</v>
      </c>
      <c r="M10" s="29">
        <v>1432000</v>
      </c>
      <c r="N10" s="29">
        <v>1350000</v>
      </c>
      <c r="O10" s="29">
        <v>1450000</v>
      </c>
      <c r="P10" s="29">
        <v>1400000</v>
      </c>
      <c r="Q10" s="29">
        <v>1620000</v>
      </c>
      <c r="R10" s="29">
        <v>2235000</v>
      </c>
      <c r="S10" s="29">
        <v>1487000</v>
      </c>
      <c r="T10" s="29">
        <v>1487000</v>
      </c>
      <c r="U10" s="29">
        <v>1546000</v>
      </c>
      <c r="V10" s="29">
        <v>1546000</v>
      </c>
      <c r="W10" s="29">
        <v>1607000</v>
      </c>
      <c r="X10" s="29">
        <v>2457000</v>
      </c>
      <c r="Y10" s="29">
        <v>0</v>
      </c>
      <c r="Z10" s="29">
        <v>0</v>
      </c>
      <c r="AA10" s="29">
        <v>0</v>
      </c>
      <c r="AB10" s="29">
        <v>0</v>
      </c>
      <c r="AC10" s="29">
        <v>0</v>
      </c>
      <c r="AD10" s="29">
        <v>0</v>
      </c>
      <c r="AE10" s="29">
        <v>0</v>
      </c>
      <c r="AF10" s="29">
        <v>0</v>
      </c>
      <c r="AG10" s="29">
        <v>0</v>
      </c>
      <c r="AH10" s="29">
        <v>0</v>
      </c>
      <c r="AI10" s="29">
        <v>0</v>
      </c>
      <c r="AJ10" s="29">
        <v>0</v>
      </c>
      <c r="AK10" s="29">
        <v>0</v>
      </c>
      <c r="AL10" s="29">
        <v>0</v>
      </c>
      <c r="AM10" s="29">
        <v>0</v>
      </c>
      <c r="AN10" s="29">
        <v>0</v>
      </c>
      <c r="AO10" s="29">
        <v>0</v>
      </c>
      <c r="AP10" s="29">
        <v>0</v>
      </c>
      <c r="AQ10" s="29">
        <v>0</v>
      </c>
      <c r="AR10" s="29">
        <v>0</v>
      </c>
      <c r="AS10" s="29">
        <v>0</v>
      </c>
    </row>
    <row r="11" spans="1:45" ht="18" customHeight="1">
      <c r="A11" s="36" t="s">
        <v>56</v>
      </c>
      <c r="B11" s="29">
        <v>0</v>
      </c>
      <c r="C11" s="29">
        <v>0</v>
      </c>
      <c r="D11" s="29">
        <v>0</v>
      </c>
      <c r="E11" s="29">
        <v>30000</v>
      </c>
      <c r="F11" s="29">
        <v>30000</v>
      </c>
      <c r="G11" s="29">
        <v>0</v>
      </c>
      <c r="H11" s="29">
        <v>50000</v>
      </c>
      <c r="I11" s="29">
        <v>100000</v>
      </c>
      <c r="J11" s="29">
        <v>0</v>
      </c>
      <c r="K11" s="29">
        <v>0</v>
      </c>
      <c r="L11" s="29">
        <v>320000</v>
      </c>
      <c r="M11" s="29">
        <v>960000</v>
      </c>
      <c r="N11" s="29">
        <v>1400000</v>
      </c>
      <c r="O11" s="29">
        <v>0</v>
      </c>
      <c r="P11" s="29">
        <v>0</v>
      </c>
      <c r="Q11" s="29">
        <v>900000</v>
      </c>
      <c r="R11" s="29">
        <v>1050000</v>
      </c>
      <c r="S11" s="29">
        <v>900000</v>
      </c>
      <c r="T11" s="29">
        <v>900000</v>
      </c>
      <c r="U11" s="29">
        <v>900000</v>
      </c>
      <c r="V11" s="29">
        <v>900000</v>
      </c>
      <c r="W11" s="29">
        <v>900000</v>
      </c>
      <c r="X11" s="29">
        <v>1350000</v>
      </c>
      <c r="Y11" s="29">
        <v>0</v>
      </c>
      <c r="Z11" s="29">
        <v>0</v>
      </c>
      <c r="AA11" s="29">
        <v>0</v>
      </c>
      <c r="AB11" s="29">
        <v>0</v>
      </c>
      <c r="AC11" s="29">
        <v>0</v>
      </c>
      <c r="AD11" s="29">
        <v>0</v>
      </c>
      <c r="AE11" s="29">
        <v>0</v>
      </c>
      <c r="AF11" s="29">
        <v>0</v>
      </c>
      <c r="AG11" s="29">
        <v>0</v>
      </c>
      <c r="AH11" s="29">
        <v>0</v>
      </c>
      <c r="AI11" s="29">
        <v>0</v>
      </c>
      <c r="AJ11" s="29">
        <v>0</v>
      </c>
      <c r="AK11" s="29">
        <v>0</v>
      </c>
      <c r="AL11" s="29">
        <v>0</v>
      </c>
      <c r="AM11" s="29">
        <v>0</v>
      </c>
      <c r="AN11" s="29">
        <v>0</v>
      </c>
      <c r="AO11" s="29">
        <v>0</v>
      </c>
      <c r="AP11" s="29">
        <v>0</v>
      </c>
      <c r="AQ11" s="29">
        <v>0</v>
      </c>
      <c r="AR11" s="29">
        <v>0</v>
      </c>
      <c r="AS11" s="29">
        <v>0</v>
      </c>
    </row>
    <row r="12" spans="1:45" ht="18" customHeight="1">
      <c r="A12" s="36" t="s">
        <v>57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  <c r="G12" s="29">
        <v>0</v>
      </c>
      <c r="H12" s="29">
        <v>6000000</v>
      </c>
      <c r="I12" s="29">
        <v>0</v>
      </c>
      <c r="J12" s="29">
        <v>0</v>
      </c>
      <c r="K12" s="29">
        <v>0</v>
      </c>
      <c r="L12" s="29">
        <v>0</v>
      </c>
      <c r="M12" s="29">
        <v>0</v>
      </c>
      <c r="N12" s="29">
        <v>0</v>
      </c>
      <c r="O12" s="29">
        <v>0</v>
      </c>
      <c r="P12" s="29">
        <v>0</v>
      </c>
      <c r="Q12" s="29">
        <v>0</v>
      </c>
      <c r="R12" s="29">
        <v>0</v>
      </c>
      <c r="S12" s="29">
        <v>0</v>
      </c>
      <c r="T12" s="29">
        <v>0</v>
      </c>
      <c r="U12" s="29">
        <v>0</v>
      </c>
      <c r="V12" s="29">
        <v>0</v>
      </c>
      <c r="W12" s="29">
        <v>0</v>
      </c>
      <c r="X12" s="29">
        <v>0</v>
      </c>
      <c r="Y12" s="29">
        <v>0</v>
      </c>
      <c r="Z12" s="29">
        <v>0</v>
      </c>
      <c r="AA12" s="29">
        <v>0</v>
      </c>
      <c r="AB12" s="29">
        <v>0</v>
      </c>
      <c r="AC12" s="29">
        <v>0</v>
      </c>
      <c r="AD12" s="29">
        <v>0</v>
      </c>
      <c r="AE12" s="29">
        <v>0</v>
      </c>
      <c r="AF12" s="29">
        <v>0</v>
      </c>
      <c r="AG12" s="29">
        <v>0</v>
      </c>
      <c r="AH12" s="29">
        <v>0</v>
      </c>
      <c r="AI12" s="29">
        <v>0</v>
      </c>
      <c r="AJ12" s="29">
        <v>0</v>
      </c>
      <c r="AK12" s="29">
        <v>0</v>
      </c>
      <c r="AL12" s="29">
        <v>0</v>
      </c>
      <c r="AM12" s="29">
        <v>0</v>
      </c>
      <c r="AN12" s="29">
        <v>0</v>
      </c>
      <c r="AO12" s="29">
        <v>0</v>
      </c>
      <c r="AP12" s="29">
        <v>0</v>
      </c>
      <c r="AQ12" s="29">
        <v>0</v>
      </c>
      <c r="AR12" s="29">
        <v>0</v>
      </c>
      <c r="AS12" s="29">
        <v>0</v>
      </c>
    </row>
    <row r="13" spans="1:45" ht="18" customHeight="1">
      <c r="A13" s="36" t="s">
        <v>58</v>
      </c>
      <c r="B13" s="29">
        <v>0</v>
      </c>
      <c r="C13" s="29">
        <v>0</v>
      </c>
      <c r="D13" s="29">
        <v>0</v>
      </c>
      <c r="E13" s="29">
        <v>0</v>
      </c>
      <c r="F13" s="29">
        <v>0</v>
      </c>
      <c r="G13" s="29">
        <v>0</v>
      </c>
      <c r="H13" s="29">
        <v>0</v>
      </c>
      <c r="I13" s="29">
        <v>0</v>
      </c>
      <c r="J13" s="29">
        <v>0</v>
      </c>
      <c r="K13" s="29">
        <v>0</v>
      </c>
      <c r="L13" s="29">
        <v>0</v>
      </c>
      <c r="M13" s="29">
        <v>0</v>
      </c>
      <c r="N13" s="29">
        <v>0</v>
      </c>
      <c r="O13" s="29">
        <v>0</v>
      </c>
      <c r="P13" s="29">
        <v>0</v>
      </c>
      <c r="Q13" s="29">
        <v>0</v>
      </c>
      <c r="R13" s="29">
        <v>0</v>
      </c>
      <c r="S13" s="29">
        <v>0</v>
      </c>
      <c r="T13" s="29">
        <v>0</v>
      </c>
      <c r="U13" s="29">
        <v>0</v>
      </c>
      <c r="V13" s="29">
        <v>0</v>
      </c>
      <c r="W13" s="29">
        <v>0</v>
      </c>
      <c r="X13" s="29">
        <v>0</v>
      </c>
      <c r="Y13" s="29">
        <v>0</v>
      </c>
      <c r="Z13" s="29">
        <v>0</v>
      </c>
      <c r="AA13" s="29">
        <v>0</v>
      </c>
      <c r="AB13" s="29">
        <v>0</v>
      </c>
      <c r="AC13" s="29">
        <v>0</v>
      </c>
      <c r="AD13" s="29">
        <v>0</v>
      </c>
      <c r="AE13" s="29">
        <v>0</v>
      </c>
      <c r="AF13" s="29">
        <v>0</v>
      </c>
      <c r="AG13" s="29">
        <v>0</v>
      </c>
      <c r="AH13" s="29">
        <v>0</v>
      </c>
      <c r="AI13" s="29">
        <v>0</v>
      </c>
      <c r="AJ13" s="29">
        <v>0</v>
      </c>
      <c r="AK13" s="29">
        <v>0</v>
      </c>
      <c r="AL13" s="29">
        <v>0</v>
      </c>
      <c r="AM13" s="29">
        <v>0</v>
      </c>
      <c r="AN13" s="29">
        <v>0</v>
      </c>
      <c r="AO13" s="29">
        <v>0</v>
      </c>
      <c r="AP13" s="29">
        <v>0</v>
      </c>
      <c r="AQ13" s="29">
        <v>0</v>
      </c>
      <c r="AR13" s="29">
        <v>0</v>
      </c>
      <c r="AS13" s="29">
        <v>0</v>
      </c>
    </row>
    <row r="14" spans="1:45" ht="18" customHeight="1">
      <c r="A14" s="36" t="s">
        <v>59</v>
      </c>
      <c r="B14" s="29">
        <v>0</v>
      </c>
      <c r="C14" s="29">
        <v>0</v>
      </c>
      <c r="D14" s="29">
        <v>0</v>
      </c>
      <c r="E14" s="29">
        <v>0</v>
      </c>
      <c r="F14" s="29">
        <v>30000</v>
      </c>
      <c r="G14" s="29">
        <v>15000</v>
      </c>
      <c r="H14" s="29">
        <v>15000</v>
      </c>
      <c r="I14" s="29">
        <v>15000</v>
      </c>
      <c r="J14" s="29">
        <v>15000</v>
      </c>
      <c r="K14" s="29">
        <v>15000</v>
      </c>
      <c r="L14" s="29">
        <v>0</v>
      </c>
      <c r="M14" s="29">
        <v>0</v>
      </c>
      <c r="N14" s="29">
        <v>0</v>
      </c>
      <c r="O14" s="29">
        <v>0</v>
      </c>
      <c r="P14" s="29">
        <v>0</v>
      </c>
      <c r="Q14" s="29">
        <v>0</v>
      </c>
      <c r="R14" s="29">
        <v>0</v>
      </c>
      <c r="S14" s="29">
        <v>0</v>
      </c>
      <c r="T14" s="29">
        <v>0</v>
      </c>
      <c r="U14" s="29">
        <v>0</v>
      </c>
      <c r="V14" s="29">
        <v>0</v>
      </c>
      <c r="W14" s="29">
        <v>0</v>
      </c>
      <c r="X14" s="29">
        <v>0</v>
      </c>
      <c r="Y14" s="29">
        <v>0</v>
      </c>
      <c r="Z14" s="29">
        <v>0</v>
      </c>
      <c r="AA14" s="29">
        <v>0</v>
      </c>
      <c r="AB14" s="29">
        <v>0</v>
      </c>
      <c r="AC14" s="29">
        <v>0</v>
      </c>
      <c r="AD14" s="29">
        <v>0</v>
      </c>
      <c r="AE14" s="29">
        <v>0</v>
      </c>
      <c r="AF14" s="29">
        <v>0</v>
      </c>
      <c r="AG14" s="29">
        <v>0</v>
      </c>
      <c r="AH14" s="29">
        <v>0</v>
      </c>
      <c r="AI14" s="29">
        <v>0</v>
      </c>
      <c r="AJ14" s="29">
        <v>0</v>
      </c>
      <c r="AK14" s="29">
        <v>0</v>
      </c>
      <c r="AL14" s="29">
        <v>0</v>
      </c>
      <c r="AM14" s="29">
        <v>0</v>
      </c>
      <c r="AN14" s="29">
        <v>0</v>
      </c>
      <c r="AO14" s="29">
        <v>0</v>
      </c>
      <c r="AP14" s="29">
        <v>0</v>
      </c>
      <c r="AQ14" s="29">
        <v>0</v>
      </c>
      <c r="AR14" s="29">
        <v>0</v>
      </c>
      <c r="AS14" s="29">
        <v>0</v>
      </c>
    </row>
    <row r="15" spans="1:45">
      <c r="A15" s="37" t="s">
        <v>60</v>
      </c>
      <c r="B15" s="38">
        <f t="shared" ref="B15:AS15" si="1">SUM(B10:B14)</f>
        <v>1100000</v>
      </c>
      <c r="C15" s="38">
        <f t="shared" si="1"/>
        <v>1100000</v>
      </c>
      <c r="D15" s="38">
        <f t="shared" si="1"/>
        <v>1100000</v>
      </c>
      <c r="E15" s="38">
        <f t="shared" si="1"/>
        <v>1230000</v>
      </c>
      <c r="F15" s="38">
        <f t="shared" si="1"/>
        <v>1260000</v>
      </c>
      <c r="G15" s="38">
        <f t="shared" si="1"/>
        <v>1215000</v>
      </c>
      <c r="H15" s="38">
        <f t="shared" si="1"/>
        <v>7225000</v>
      </c>
      <c r="I15" s="38">
        <f t="shared" si="1"/>
        <v>1285000</v>
      </c>
      <c r="J15" s="38">
        <f t="shared" si="1"/>
        <v>1265000</v>
      </c>
      <c r="K15" s="38">
        <f t="shared" si="1"/>
        <v>1215000</v>
      </c>
      <c r="L15" s="38">
        <f t="shared" si="1"/>
        <v>1570000</v>
      </c>
      <c r="M15" s="38">
        <f t="shared" si="1"/>
        <v>2392000</v>
      </c>
      <c r="N15" s="38">
        <f t="shared" si="1"/>
        <v>2750000</v>
      </c>
      <c r="O15" s="38">
        <f t="shared" si="1"/>
        <v>1450000</v>
      </c>
      <c r="P15" s="38">
        <f t="shared" si="1"/>
        <v>1400000</v>
      </c>
      <c r="Q15" s="38">
        <f t="shared" si="1"/>
        <v>2520000</v>
      </c>
      <c r="R15" s="38">
        <f t="shared" si="1"/>
        <v>3285000</v>
      </c>
      <c r="S15" s="38">
        <f t="shared" si="1"/>
        <v>2387000</v>
      </c>
      <c r="T15" s="38">
        <f t="shared" si="1"/>
        <v>2387000</v>
      </c>
      <c r="U15" s="38">
        <f t="shared" si="1"/>
        <v>2446000</v>
      </c>
      <c r="V15" s="38">
        <f t="shared" si="1"/>
        <v>2446000</v>
      </c>
      <c r="W15" s="38">
        <f t="shared" si="1"/>
        <v>2507000</v>
      </c>
      <c r="X15" s="38">
        <f t="shared" si="1"/>
        <v>3807000</v>
      </c>
      <c r="Y15" s="38">
        <f t="shared" si="1"/>
        <v>0</v>
      </c>
      <c r="Z15" s="38">
        <f t="shared" si="1"/>
        <v>0</v>
      </c>
      <c r="AA15" s="38">
        <f t="shared" si="1"/>
        <v>0</v>
      </c>
      <c r="AB15" s="38">
        <f t="shared" si="1"/>
        <v>0</v>
      </c>
      <c r="AC15" s="38">
        <f t="shared" si="1"/>
        <v>0</v>
      </c>
      <c r="AD15" s="38">
        <f t="shared" si="1"/>
        <v>0</v>
      </c>
      <c r="AE15" s="38">
        <f t="shared" si="1"/>
        <v>0</v>
      </c>
      <c r="AF15" s="38">
        <f t="shared" si="1"/>
        <v>0</v>
      </c>
      <c r="AG15" s="38">
        <f t="shared" si="1"/>
        <v>0</v>
      </c>
      <c r="AH15" s="38">
        <f t="shared" si="1"/>
        <v>0</v>
      </c>
      <c r="AI15" s="38">
        <f t="shared" si="1"/>
        <v>0</v>
      </c>
      <c r="AJ15" s="38">
        <f t="shared" si="1"/>
        <v>0</v>
      </c>
      <c r="AK15" s="38">
        <f t="shared" si="1"/>
        <v>0</v>
      </c>
      <c r="AL15" s="38">
        <f t="shared" si="1"/>
        <v>0</v>
      </c>
      <c r="AM15" s="38">
        <f t="shared" si="1"/>
        <v>0</v>
      </c>
      <c r="AN15" s="38">
        <f t="shared" si="1"/>
        <v>0</v>
      </c>
      <c r="AO15" s="38">
        <f t="shared" si="1"/>
        <v>0</v>
      </c>
      <c r="AP15" s="38">
        <f t="shared" si="1"/>
        <v>0</v>
      </c>
      <c r="AQ15" s="38">
        <f t="shared" si="1"/>
        <v>0</v>
      </c>
      <c r="AR15" s="38">
        <f t="shared" si="1"/>
        <v>0</v>
      </c>
      <c r="AS15" s="38">
        <f t="shared" si="1"/>
        <v>0</v>
      </c>
    </row>
    <row r="16" spans="1:45" ht="21.75" customHeight="1">
      <c r="A16" s="39" t="s">
        <v>61</v>
      </c>
      <c r="B16" s="40">
        <f t="shared" ref="B16:AS16" si="2">B15+B8</f>
        <v>-1207584.0099999998</v>
      </c>
      <c r="C16" s="40">
        <f t="shared" si="2"/>
        <v>-241061.68999999994</v>
      </c>
      <c r="D16" s="40">
        <f t="shared" si="2"/>
        <v>-1187461.69</v>
      </c>
      <c r="E16" s="40">
        <f t="shared" si="2"/>
        <v>-1483870</v>
      </c>
      <c r="F16" s="40">
        <f t="shared" si="2"/>
        <v>-1780870</v>
      </c>
      <c r="G16" s="40">
        <f t="shared" si="2"/>
        <v>-2203070</v>
      </c>
      <c r="H16" s="40">
        <f t="shared" si="2"/>
        <v>-345077</v>
      </c>
      <c r="I16" s="40">
        <f t="shared" si="2"/>
        <v>-1467060</v>
      </c>
      <c r="J16" s="40">
        <f t="shared" si="2"/>
        <v>-2291160</v>
      </c>
      <c r="K16" s="40">
        <f t="shared" si="2"/>
        <v>-1884360</v>
      </c>
      <c r="L16" s="40">
        <f t="shared" si="2"/>
        <v>-398000</v>
      </c>
      <c r="M16" s="41">
        <f t="shared" si="2"/>
        <v>492400</v>
      </c>
      <c r="N16" s="41">
        <f t="shared" si="2"/>
        <v>684196</v>
      </c>
      <c r="O16" s="40">
        <f t="shared" si="2"/>
        <v>27398.739999999991</v>
      </c>
      <c r="P16" s="40">
        <f t="shared" si="2"/>
        <v>-302601.26</v>
      </c>
      <c r="Q16" s="41">
        <f t="shared" si="2"/>
        <v>526518.74</v>
      </c>
      <c r="R16" s="41">
        <f t="shared" si="2"/>
        <v>389518.74000000022</v>
      </c>
      <c r="S16" s="41">
        <f t="shared" si="2"/>
        <v>326518.74</v>
      </c>
      <c r="T16" s="41">
        <f t="shared" si="2"/>
        <v>656518.74</v>
      </c>
      <c r="U16" s="41">
        <f t="shared" si="2"/>
        <v>1095518.74</v>
      </c>
      <c r="V16" s="41">
        <f t="shared" si="2"/>
        <v>1095518.74</v>
      </c>
      <c r="W16" s="41">
        <f t="shared" si="2"/>
        <v>1226518.74</v>
      </c>
      <c r="X16" s="41">
        <f t="shared" si="2"/>
        <v>2660398.7400000002</v>
      </c>
      <c r="Y16" s="40">
        <f t="shared" si="2"/>
        <v>-139000</v>
      </c>
      <c r="Z16" s="40">
        <f t="shared" si="2"/>
        <v>-489000</v>
      </c>
      <c r="AA16" s="40">
        <f t="shared" si="2"/>
        <v>-139000</v>
      </c>
      <c r="AB16" s="40">
        <f t="shared" si="2"/>
        <v>-139000</v>
      </c>
      <c r="AC16" s="40">
        <f t="shared" si="2"/>
        <v>-139000</v>
      </c>
      <c r="AD16" s="40">
        <f t="shared" si="2"/>
        <v>-139000</v>
      </c>
      <c r="AE16" s="40">
        <f t="shared" si="2"/>
        <v>-139000</v>
      </c>
      <c r="AF16" s="40">
        <f t="shared" si="2"/>
        <v>-139000</v>
      </c>
      <c r="AG16" s="40">
        <f t="shared" si="2"/>
        <v>-139000</v>
      </c>
      <c r="AH16" s="40">
        <f t="shared" si="2"/>
        <v>-139000</v>
      </c>
      <c r="AI16" s="40">
        <f t="shared" si="2"/>
        <v>-139000</v>
      </c>
      <c r="AJ16" s="41">
        <f t="shared" si="2"/>
        <v>0</v>
      </c>
      <c r="AK16" s="41">
        <f t="shared" si="2"/>
        <v>0</v>
      </c>
      <c r="AL16" s="41">
        <f t="shared" si="2"/>
        <v>0</v>
      </c>
      <c r="AM16" s="41">
        <f t="shared" si="2"/>
        <v>0</v>
      </c>
      <c r="AN16" s="41">
        <f t="shared" si="2"/>
        <v>0</v>
      </c>
      <c r="AO16" s="41">
        <f t="shared" si="2"/>
        <v>0</v>
      </c>
      <c r="AP16" s="41">
        <f t="shared" si="2"/>
        <v>0</v>
      </c>
      <c r="AQ16" s="41">
        <f t="shared" si="2"/>
        <v>0</v>
      </c>
      <c r="AR16" s="41">
        <f t="shared" si="2"/>
        <v>0</v>
      </c>
      <c r="AS16" s="41">
        <f t="shared" si="2"/>
        <v>0</v>
      </c>
    </row>
  </sheetData>
  <mergeCells count="2">
    <mergeCell ref="A3:AS3"/>
    <mergeCell ref="A9:AS9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3"/>
  <sheetViews>
    <sheetView tabSelected="1" zoomScaleNormal="100" workbookViewId="0">
      <pane xSplit="1" ySplit="2" topLeftCell="P3" activePane="bottomRight" state="frozen"/>
      <selection pane="bottomRight" activeCell="T5" sqref="T5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4" t="s">
        <v>62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2" t="s">
        <v>63</v>
      </c>
      <c r="B4" s="27">
        <v>-1081714.01</v>
      </c>
      <c r="C4" s="27">
        <v>-751591.69</v>
      </c>
      <c r="D4" s="27">
        <v>-751591.69</v>
      </c>
      <c r="E4" s="27">
        <v>-1360000</v>
      </c>
      <c r="F4" s="27">
        <v>-1083000</v>
      </c>
      <c r="G4" s="27">
        <v>-1450000</v>
      </c>
      <c r="H4" s="27">
        <v>-1695000</v>
      </c>
      <c r="I4" s="27">
        <v>-1300000</v>
      </c>
      <c r="J4" s="27">
        <v>-1733000</v>
      </c>
      <c r="K4" s="27">
        <v>-1450000</v>
      </c>
      <c r="L4" s="27">
        <v>-400000</v>
      </c>
      <c r="M4" s="27">
        <v>-400000</v>
      </c>
      <c r="N4" s="27">
        <v>-400000</v>
      </c>
      <c r="O4" s="27">
        <v>-155000</v>
      </c>
      <c r="P4" s="27">
        <v>-370000</v>
      </c>
      <c r="Q4" s="27">
        <v>-528000</v>
      </c>
      <c r="R4" s="27">
        <v>-700000</v>
      </c>
      <c r="S4" s="27">
        <v>-400000</v>
      </c>
      <c r="T4" s="27">
        <v>-400000</v>
      </c>
      <c r="U4" s="27"/>
      <c r="V4" s="27">
        <v>0</v>
      </c>
      <c r="W4" s="27">
        <v>0</v>
      </c>
      <c r="X4" s="27">
        <v>0</v>
      </c>
      <c r="Y4" s="27">
        <v>0</v>
      </c>
      <c r="Z4" s="27">
        <v>0</v>
      </c>
      <c r="AA4" s="27">
        <v>0</v>
      </c>
      <c r="AB4" s="27">
        <v>0</v>
      </c>
      <c r="AC4" s="27">
        <v>0</v>
      </c>
      <c r="AD4" s="27">
        <v>0</v>
      </c>
      <c r="AE4" s="27">
        <v>0</v>
      </c>
      <c r="AF4" s="27">
        <v>0</v>
      </c>
      <c r="AG4" s="27">
        <v>0</v>
      </c>
      <c r="AH4" s="27">
        <v>0</v>
      </c>
      <c r="AI4" s="27">
        <v>0</v>
      </c>
      <c r="AJ4" s="27">
        <v>0</v>
      </c>
      <c r="AK4" s="27">
        <v>0</v>
      </c>
      <c r="AL4" s="27">
        <v>0</v>
      </c>
      <c r="AM4" s="27">
        <v>0</v>
      </c>
      <c r="AN4" s="27">
        <v>0</v>
      </c>
      <c r="AO4" s="27">
        <v>0</v>
      </c>
      <c r="AP4" s="27">
        <v>0</v>
      </c>
      <c r="AQ4" s="27">
        <v>0</v>
      </c>
      <c r="AR4" s="27">
        <v>0</v>
      </c>
      <c r="AS4" s="27">
        <v>0</v>
      </c>
    </row>
    <row r="5" spans="1:45" ht="18" customHeight="1">
      <c r="A5" s="42" t="s">
        <v>64</v>
      </c>
      <c r="B5" s="27">
        <v>-149000</v>
      </c>
      <c r="C5" s="27">
        <v>-149000</v>
      </c>
      <c r="D5" s="27">
        <v>-149000</v>
      </c>
      <c r="E5" s="27">
        <v>-149000</v>
      </c>
      <c r="F5" s="27">
        <v>-128000</v>
      </c>
      <c r="G5" s="27">
        <v>-474000</v>
      </c>
      <c r="H5" s="27">
        <v>-502000</v>
      </c>
      <c r="I5" s="27">
        <v>0</v>
      </c>
      <c r="J5" s="27">
        <v>-161000</v>
      </c>
      <c r="K5" s="27">
        <v>-161000</v>
      </c>
      <c r="L5" s="27">
        <v>-161000</v>
      </c>
      <c r="M5" s="27">
        <v>-161000</v>
      </c>
      <c r="N5" s="27">
        <v>-161000</v>
      </c>
      <c r="O5" s="27">
        <v>-161000</v>
      </c>
      <c r="P5" s="27">
        <v>-161000</v>
      </c>
      <c r="Q5" s="27">
        <v>0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v>0</v>
      </c>
      <c r="X5" s="27">
        <v>0</v>
      </c>
      <c r="Y5" s="27">
        <v>0</v>
      </c>
      <c r="Z5" s="27">
        <v>0</v>
      </c>
      <c r="AA5" s="27">
        <v>0</v>
      </c>
      <c r="AB5" s="27">
        <v>0</v>
      </c>
      <c r="AC5" s="27">
        <v>0</v>
      </c>
      <c r="AD5" s="27">
        <v>0</v>
      </c>
      <c r="AE5" s="27">
        <v>0</v>
      </c>
      <c r="AF5" s="27">
        <v>0</v>
      </c>
      <c r="AG5" s="27">
        <v>0</v>
      </c>
      <c r="AH5" s="27">
        <v>0</v>
      </c>
      <c r="AI5" s="27">
        <v>0</v>
      </c>
      <c r="AJ5" s="27">
        <v>0</v>
      </c>
      <c r="AK5" s="27">
        <v>0</v>
      </c>
      <c r="AL5" s="27">
        <v>0</v>
      </c>
      <c r="AM5" s="27">
        <v>0</v>
      </c>
      <c r="AN5" s="27">
        <v>0</v>
      </c>
      <c r="AO5" s="27">
        <v>0</v>
      </c>
      <c r="AP5" s="27">
        <v>0</v>
      </c>
      <c r="AQ5" s="27">
        <v>0</v>
      </c>
      <c r="AR5" s="27">
        <v>0</v>
      </c>
      <c r="AS5" s="27">
        <v>0</v>
      </c>
    </row>
    <row r="6" spans="1:45" ht="18" customHeight="1">
      <c r="A6" s="42" t="s">
        <v>65</v>
      </c>
      <c r="B6" s="27">
        <v>-202870</v>
      </c>
      <c r="C6" s="27">
        <v>-202870</v>
      </c>
      <c r="D6" s="27">
        <v>-202870</v>
      </c>
      <c r="E6" s="27">
        <v>-202870</v>
      </c>
      <c r="F6" s="27">
        <v>-202870</v>
      </c>
      <c r="G6" s="27">
        <v>-202870</v>
      </c>
      <c r="H6" s="27">
        <v>-3862277</v>
      </c>
      <c r="I6" s="27">
        <v>0</v>
      </c>
      <c r="J6" s="27">
        <v>0</v>
      </c>
      <c r="K6" s="27">
        <v>0</v>
      </c>
      <c r="L6" s="27">
        <v>0</v>
      </c>
      <c r="M6" s="27">
        <v>0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7">
        <v>0</v>
      </c>
      <c r="U6" s="27">
        <v>0</v>
      </c>
      <c r="V6" s="27">
        <v>0</v>
      </c>
      <c r="W6" s="27">
        <v>0</v>
      </c>
      <c r="X6" s="27">
        <v>0</v>
      </c>
      <c r="Y6" s="27">
        <v>0</v>
      </c>
      <c r="Z6" s="27">
        <v>0</v>
      </c>
      <c r="AA6" s="27">
        <v>0</v>
      </c>
      <c r="AB6" s="27">
        <v>0</v>
      </c>
      <c r="AC6" s="27">
        <v>0</v>
      </c>
      <c r="AD6" s="27">
        <v>0</v>
      </c>
      <c r="AE6" s="27">
        <v>0</v>
      </c>
      <c r="AF6" s="27">
        <v>0</v>
      </c>
      <c r="AG6" s="27">
        <v>0</v>
      </c>
      <c r="AH6" s="27">
        <v>0</v>
      </c>
      <c r="AI6" s="27">
        <v>0</v>
      </c>
      <c r="AJ6" s="27">
        <v>0</v>
      </c>
      <c r="AK6" s="27">
        <v>0</v>
      </c>
      <c r="AL6" s="27">
        <v>0</v>
      </c>
      <c r="AM6" s="27">
        <v>0</v>
      </c>
      <c r="AN6" s="27">
        <v>0</v>
      </c>
      <c r="AO6" s="27">
        <v>0</v>
      </c>
      <c r="AP6" s="27">
        <v>0</v>
      </c>
      <c r="AQ6" s="27">
        <v>0</v>
      </c>
      <c r="AR6" s="27">
        <v>0</v>
      </c>
      <c r="AS6" s="27">
        <v>0</v>
      </c>
    </row>
    <row r="7" spans="1:45" ht="18" customHeight="1">
      <c r="A7" s="42" t="s">
        <v>66</v>
      </c>
      <c r="B7" s="27">
        <v>0</v>
      </c>
      <c r="C7" s="27">
        <v>-83000</v>
      </c>
      <c r="D7" s="27">
        <v>-83000</v>
      </c>
      <c r="E7" s="27">
        <v>-83000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0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v>0</v>
      </c>
      <c r="X7" s="27">
        <v>0</v>
      </c>
      <c r="Y7" s="27">
        <v>0</v>
      </c>
      <c r="Z7" s="27">
        <v>0</v>
      </c>
      <c r="AA7" s="27">
        <v>0</v>
      </c>
      <c r="AB7" s="27">
        <v>0</v>
      </c>
      <c r="AC7" s="27">
        <v>0</v>
      </c>
      <c r="AD7" s="27">
        <v>0</v>
      </c>
      <c r="AE7" s="27">
        <v>0</v>
      </c>
      <c r="AF7" s="27">
        <v>0</v>
      </c>
      <c r="AG7" s="27">
        <v>0</v>
      </c>
      <c r="AH7" s="27">
        <v>0</v>
      </c>
      <c r="AI7" s="27">
        <v>0</v>
      </c>
      <c r="AJ7" s="27">
        <v>0</v>
      </c>
      <c r="AK7" s="27">
        <v>0</v>
      </c>
      <c r="AL7" s="27">
        <v>0</v>
      </c>
      <c r="AM7" s="27">
        <v>0</v>
      </c>
      <c r="AN7" s="27">
        <v>0</v>
      </c>
      <c r="AO7" s="27">
        <v>0</v>
      </c>
      <c r="AP7" s="27">
        <v>0</v>
      </c>
      <c r="AQ7" s="27">
        <v>0</v>
      </c>
      <c r="AR7" s="27">
        <v>0</v>
      </c>
      <c r="AS7" s="27">
        <v>0</v>
      </c>
    </row>
    <row r="8" spans="1:45" ht="18" customHeight="1">
      <c r="A8" s="42" t="s">
        <v>67</v>
      </c>
      <c r="B8" s="27">
        <v>-840000</v>
      </c>
      <c r="C8" s="27">
        <v>-120600</v>
      </c>
      <c r="D8" s="27">
        <v>-1067000</v>
      </c>
      <c r="E8" s="27">
        <v>-895000</v>
      </c>
      <c r="F8" s="27">
        <v>-740000</v>
      </c>
      <c r="G8" s="27">
        <v>-680000</v>
      </c>
      <c r="H8" s="27">
        <v>-700000</v>
      </c>
      <c r="I8" s="27">
        <v>-560000</v>
      </c>
      <c r="J8" s="27">
        <v>-850000</v>
      </c>
      <c r="K8" s="27">
        <v>-1000000</v>
      </c>
      <c r="L8" s="27">
        <v>-600000</v>
      </c>
      <c r="M8" s="27">
        <v>-127000</v>
      </c>
      <c r="N8" s="27">
        <v>-193000</v>
      </c>
      <c r="O8" s="27">
        <v>-139000</v>
      </c>
      <c r="P8" s="27">
        <v>-139000</v>
      </c>
      <c r="Q8" s="27">
        <v>-139000</v>
      </c>
      <c r="R8" s="27">
        <v>-139000</v>
      </c>
      <c r="S8" s="27">
        <v>-139000</v>
      </c>
      <c r="T8" s="27">
        <v>-139000</v>
      </c>
      <c r="U8" s="27">
        <v>-139000</v>
      </c>
      <c r="V8" s="27">
        <v>-139000</v>
      </c>
      <c r="W8" s="27">
        <v>-139000</v>
      </c>
      <c r="X8" s="27">
        <v>-139000</v>
      </c>
      <c r="Y8" s="27">
        <v>-139000</v>
      </c>
      <c r="Z8" s="27">
        <v>-139000</v>
      </c>
      <c r="AA8" s="27">
        <v>-139000</v>
      </c>
      <c r="AB8" s="27">
        <v>-139000</v>
      </c>
      <c r="AC8" s="27">
        <v>-139000</v>
      </c>
      <c r="AD8" s="27">
        <v>-139000</v>
      </c>
      <c r="AE8" s="27">
        <v>-139000</v>
      </c>
      <c r="AF8" s="27">
        <v>-139000</v>
      </c>
      <c r="AG8" s="27">
        <v>-139000</v>
      </c>
      <c r="AH8" s="27">
        <v>-139000</v>
      </c>
      <c r="AI8" s="27">
        <v>-139000</v>
      </c>
      <c r="AJ8" s="27">
        <v>0</v>
      </c>
      <c r="AK8" s="27">
        <v>0</v>
      </c>
      <c r="AL8" s="27">
        <v>0</v>
      </c>
      <c r="AM8" s="27">
        <v>0</v>
      </c>
      <c r="AN8" s="27">
        <v>0</v>
      </c>
      <c r="AO8" s="27">
        <v>0</v>
      </c>
      <c r="AP8" s="27">
        <v>0</v>
      </c>
      <c r="AQ8" s="27">
        <v>0</v>
      </c>
      <c r="AR8" s="27">
        <v>0</v>
      </c>
      <c r="AS8" s="27">
        <v>0</v>
      </c>
    </row>
    <row r="9" spans="1:45" ht="18" customHeight="1">
      <c r="A9" s="42" t="s">
        <v>68</v>
      </c>
      <c r="B9" s="27">
        <v>-34000</v>
      </c>
      <c r="C9" s="27">
        <v>-34000</v>
      </c>
      <c r="D9" s="27">
        <v>-34000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v>0</v>
      </c>
      <c r="X9" s="27">
        <v>0</v>
      </c>
      <c r="Y9" s="27">
        <v>0</v>
      </c>
      <c r="Z9" s="27">
        <v>0</v>
      </c>
      <c r="AA9" s="27">
        <v>0</v>
      </c>
      <c r="AB9" s="27">
        <v>0</v>
      </c>
      <c r="AC9" s="27">
        <v>0</v>
      </c>
      <c r="AD9" s="27">
        <v>0</v>
      </c>
      <c r="AE9" s="27">
        <v>0</v>
      </c>
      <c r="AF9" s="27">
        <v>0</v>
      </c>
      <c r="AG9" s="27">
        <v>0</v>
      </c>
      <c r="AH9" s="27">
        <v>0</v>
      </c>
      <c r="AI9" s="27">
        <v>0</v>
      </c>
      <c r="AJ9" s="27">
        <v>0</v>
      </c>
      <c r="AK9" s="27">
        <v>0</v>
      </c>
      <c r="AL9" s="27">
        <v>0</v>
      </c>
      <c r="AM9" s="27">
        <v>0</v>
      </c>
      <c r="AN9" s="27">
        <v>0</v>
      </c>
      <c r="AO9" s="27">
        <v>0</v>
      </c>
      <c r="AP9" s="27">
        <v>0</v>
      </c>
      <c r="AQ9" s="27">
        <v>0</v>
      </c>
      <c r="AR9" s="27">
        <v>0</v>
      </c>
      <c r="AS9" s="27">
        <v>0</v>
      </c>
    </row>
    <row r="10" spans="1:45" ht="18" customHeight="1">
      <c r="A10" s="42" t="s">
        <v>69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  <c r="G10" s="27">
        <v>0</v>
      </c>
      <c r="H10" s="27">
        <v>0</v>
      </c>
      <c r="I10" s="27">
        <v>0</v>
      </c>
      <c r="J10" s="27">
        <v>0</v>
      </c>
      <c r="K10" s="27">
        <v>0</v>
      </c>
      <c r="L10" s="27">
        <v>0</v>
      </c>
      <c r="M10" s="27">
        <v>-250000</v>
      </c>
      <c r="N10" s="27">
        <v>-170000</v>
      </c>
      <c r="O10" s="27">
        <v>-70000</v>
      </c>
      <c r="P10" s="27">
        <v>-137000</v>
      </c>
      <c r="Q10" s="27">
        <v>-160000</v>
      </c>
      <c r="R10" s="27">
        <v>-375000</v>
      </c>
      <c r="S10" s="27">
        <v>-300000</v>
      </c>
      <c r="T10" s="27">
        <v>0</v>
      </c>
      <c r="U10" s="27">
        <v>0</v>
      </c>
      <c r="V10" s="27">
        <v>0</v>
      </c>
      <c r="W10" s="27">
        <v>0</v>
      </c>
      <c r="X10" s="27">
        <v>0</v>
      </c>
      <c r="Y10" s="27">
        <v>0</v>
      </c>
      <c r="Z10" s="27">
        <v>0</v>
      </c>
      <c r="AA10" s="27">
        <v>0</v>
      </c>
      <c r="AB10" s="27">
        <v>0</v>
      </c>
      <c r="AC10" s="27">
        <v>0</v>
      </c>
      <c r="AD10" s="27">
        <v>0</v>
      </c>
      <c r="AE10" s="27">
        <v>0</v>
      </c>
      <c r="AF10" s="27">
        <v>0</v>
      </c>
      <c r="AG10" s="27">
        <v>0</v>
      </c>
      <c r="AH10" s="27">
        <v>0</v>
      </c>
      <c r="AI10" s="27">
        <v>0</v>
      </c>
      <c r="AJ10" s="27">
        <v>0</v>
      </c>
      <c r="AK10" s="27">
        <v>0</v>
      </c>
      <c r="AL10" s="27">
        <v>0</v>
      </c>
      <c r="AM10" s="27">
        <v>0</v>
      </c>
      <c r="AN10" s="27">
        <v>0</v>
      </c>
      <c r="AO10" s="27">
        <v>0</v>
      </c>
      <c r="AP10" s="27">
        <v>0</v>
      </c>
      <c r="AQ10" s="27">
        <v>0</v>
      </c>
      <c r="AR10" s="27">
        <v>0</v>
      </c>
      <c r="AS10" s="27">
        <v>0</v>
      </c>
    </row>
    <row r="11" spans="1:45" ht="18" customHeight="1">
      <c r="A11" s="42" t="s">
        <v>70</v>
      </c>
      <c r="B11" s="27">
        <v>0</v>
      </c>
      <c r="C11" s="27">
        <v>0</v>
      </c>
      <c r="D11" s="27">
        <v>0</v>
      </c>
      <c r="E11" s="27">
        <v>0</v>
      </c>
      <c r="F11" s="27">
        <v>0</v>
      </c>
      <c r="G11" s="27">
        <v>0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-200000</v>
      </c>
      <c r="O11" s="27">
        <v>-50000</v>
      </c>
      <c r="P11" s="27">
        <v>-37000</v>
      </c>
      <c r="Q11" s="27">
        <v>0</v>
      </c>
      <c r="R11" s="27">
        <v>-140000</v>
      </c>
      <c r="S11" s="27">
        <v>0</v>
      </c>
      <c r="T11" s="27">
        <v>0</v>
      </c>
      <c r="U11" s="27">
        <v>0</v>
      </c>
      <c r="V11" s="27">
        <v>0</v>
      </c>
      <c r="W11" s="27">
        <v>0</v>
      </c>
      <c r="X11" s="27">
        <v>0</v>
      </c>
      <c r="Y11" s="27">
        <v>0</v>
      </c>
      <c r="Z11" s="27">
        <v>0</v>
      </c>
      <c r="AA11" s="27">
        <v>0</v>
      </c>
      <c r="AB11" s="27">
        <v>0</v>
      </c>
      <c r="AC11" s="27">
        <v>0</v>
      </c>
      <c r="AD11" s="27">
        <v>0</v>
      </c>
      <c r="AE11" s="27">
        <v>0</v>
      </c>
      <c r="AF11" s="27">
        <v>0</v>
      </c>
      <c r="AG11" s="27">
        <v>0</v>
      </c>
      <c r="AH11" s="27">
        <v>0</v>
      </c>
      <c r="AI11" s="27">
        <v>0</v>
      </c>
      <c r="AJ11" s="27">
        <v>0</v>
      </c>
      <c r="AK11" s="27">
        <v>0</v>
      </c>
      <c r="AL11" s="27">
        <v>0</v>
      </c>
      <c r="AM11" s="27">
        <v>0</v>
      </c>
      <c r="AN11" s="27">
        <v>0</v>
      </c>
      <c r="AO11" s="27">
        <v>0</v>
      </c>
      <c r="AP11" s="27">
        <v>0</v>
      </c>
      <c r="AQ11" s="27">
        <v>0</v>
      </c>
      <c r="AR11" s="27">
        <v>0</v>
      </c>
      <c r="AS11" s="27">
        <v>0</v>
      </c>
    </row>
    <row r="12" spans="1:45" ht="18" customHeight="1">
      <c r="A12" s="42" t="s">
        <v>71</v>
      </c>
      <c r="B12" s="27">
        <v>0</v>
      </c>
      <c r="C12" s="27">
        <v>0</v>
      </c>
      <c r="D12" s="27">
        <v>0</v>
      </c>
      <c r="E12" s="27">
        <v>0</v>
      </c>
      <c r="F12" s="27">
        <v>0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-70000</v>
      </c>
      <c r="R12" s="27">
        <v>0</v>
      </c>
      <c r="S12" s="27">
        <v>0</v>
      </c>
      <c r="T12" s="27">
        <v>0</v>
      </c>
      <c r="U12" s="27">
        <v>0</v>
      </c>
      <c r="V12" s="27">
        <v>0</v>
      </c>
      <c r="W12" s="27">
        <v>0</v>
      </c>
      <c r="X12" s="27">
        <v>0</v>
      </c>
      <c r="Y12" s="27">
        <v>0</v>
      </c>
      <c r="Z12" s="27">
        <v>0</v>
      </c>
      <c r="AA12" s="27">
        <v>0</v>
      </c>
      <c r="AB12" s="27">
        <v>0</v>
      </c>
      <c r="AC12" s="27">
        <v>0</v>
      </c>
      <c r="AD12" s="27">
        <v>0</v>
      </c>
      <c r="AE12" s="27">
        <v>0</v>
      </c>
      <c r="AF12" s="27">
        <v>0</v>
      </c>
      <c r="AG12" s="27">
        <v>0</v>
      </c>
      <c r="AH12" s="27">
        <v>0</v>
      </c>
      <c r="AI12" s="27">
        <v>0</v>
      </c>
      <c r="AJ12" s="27">
        <v>0</v>
      </c>
      <c r="AK12" s="27">
        <v>0</v>
      </c>
      <c r="AL12" s="27">
        <v>0</v>
      </c>
      <c r="AM12" s="27">
        <v>0</v>
      </c>
      <c r="AN12" s="27">
        <v>0</v>
      </c>
      <c r="AO12" s="27">
        <v>0</v>
      </c>
      <c r="AP12" s="27">
        <v>0</v>
      </c>
      <c r="AQ12" s="27">
        <v>0</v>
      </c>
      <c r="AR12" s="27">
        <v>0</v>
      </c>
      <c r="AS12" s="27">
        <v>0</v>
      </c>
    </row>
    <row r="13" spans="1:45">
      <c r="A13" s="43" t="s">
        <v>72</v>
      </c>
      <c r="B13" s="44">
        <f t="shared" ref="B13:AS13" si="0">SUM(B4:B12)</f>
        <v>-2307584.0099999998</v>
      </c>
      <c r="C13" s="44">
        <f t="shared" si="0"/>
        <v>-1341061.69</v>
      </c>
      <c r="D13" s="44">
        <f t="shared" si="0"/>
        <v>-2287461.69</v>
      </c>
      <c r="E13" s="44">
        <f t="shared" si="0"/>
        <v>-2689870</v>
      </c>
      <c r="F13" s="44">
        <f t="shared" si="0"/>
        <v>-2153870</v>
      </c>
      <c r="G13" s="44">
        <f t="shared" si="0"/>
        <v>-2806870</v>
      </c>
      <c r="H13" s="44">
        <f t="shared" si="0"/>
        <v>-6759277</v>
      </c>
      <c r="I13" s="44">
        <f t="shared" si="0"/>
        <v>-1860000</v>
      </c>
      <c r="J13" s="44">
        <f t="shared" si="0"/>
        <v>-2744000</v>
      </c>
      <c r="K13" s="44">
        <f t="shared" si="0"/>
        <v>-2611000</v>
      </c>
      <c r="L13" s="44">
        <f t="shared" si="0"/>
        <v>-1161000</v>
      </c>
      <c r="M13" s="44">
        <f t="shared" si="0"/>
        <v>-938000</v>
      </c>
      <c r="N13" s="44">
        <f t="shared" si="0"/>
        <v>-1124000</v>
      </c>
      <c r="O13" s="44">
        <f t="shared" si="0"/>
        <v>-575000</v>
      </c>
      <c r="P13" s="44">
        <f t="shared" si="0"/>
        <v>-844000</v>
      </c>
      <c r="Q13" s="44">
        <f t="shared" si="0"/>
        <v>-897000</v>
      </c>
      <c r="R13" s="44">
        <f t="shared" si="0"/>
        <v>-1354000</v>
      </c>
      <c r="S13" s="44">
        <f t="shared" si="0"/>
        <v>-839000</v>
      </c>
      <c r="T13" s="44">
        <f t="shared" si="0"/>
        <v>-539000</v>
      </c>
      <c r="U13" s="44">
        <f t="shared" si="0"/>
        <v>-139000</v>
      </c>
      <c r="V13" s="44">
        <f t="shared" si="0"/>
        <v>-139000</v>
      </c>
      <c r="W13" s="44">
        <f t="shared" si="0"/>
        <v>-139000</v>
      </c>
      <c r="X13" s="44">
        <f t="shared" si="0"/>
        <v>-139000</v>
      </c>
      <c r="Y13" s="44">
        <f t="shared" si="0"/>
        <v>-139000</v>
      </c>
      <c r="Z13" s="44">
        <f t="shared" si="0"/>
        <v>-139000</v>
      </c>
      <c r="AA13" s="44">
        <f t="shared" si="0"/>
        <v>-139000</v>
      </c>
      <c r="AB13" s="44">
        <f t="shared" si="0"/>
        <v>-139000</v>
      </c>
      <c r="AC13" s="44">
        <f t="shared" si="0"/>
        <v>-139000</v>
      </c>
      <c r="AD13" s="44">
        <f t="shared" si="0"/>
        <v>-139000</v>
      </c>
      <c r="AE13" s="44">
        <f t="shared" si="0"/>
        <v>-139000</v>
      </c>
      <c r="AF13" s="44">
        <f t="shared" si="0"/>
        <v>-139000</v>
      </c>
      <c r="AG13" s="44">
        <f t="shared" si="0"/>
        <v>-139000</v>
      </c>
      <c r="AH13" s="44">
        <f t="shared" si="0"/>
        <v>-139000</v>
      </c>
      <c r="AI13" s="44">
        <f t="shared" si="0"/>
        <v>-139000</v>
      </c>
      <c r="AJ13" s="44">
        <f t="shared" si="0"/>
        <v>0</v>
      </c>
      <c r="AK13" s="44">
        <f t="shared" si="0"/>
        <v>0</v>
      </c>
      <c r="AL13" s="44">
        <f t="shared" si="0"/>
        <v>0</v>
      </c>
      <c r="AM13" s="44">
        <f t="shared" si="0"/>
        <v>0</v>
      </c>
      <c r="AN13" s="44">
        <f t="shared" si="0"/>
        <v>0</v>
      </c>
      <c r="AO13" s="44">
        <f t="shared" si="0"/>
        <v>0</v>
      </c>
      <c r="AP13" s="44">
        <f t="shared" si="0"/>
        <v>0</v>
      </c>
      <c r="AQ13" s="44">
        <f t="shared" si="0"/>
        <v>0</v>
      </c>
      <c r="AR13" s="44">
        <f t="shared" si="0"/>
        <v>0</v>
      </c>
      <c r="AS13" s="44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0"/>
  <sheetViews>
    <sheetView zoomScaleNormal="100" workbookViewId="0">
      <pane xSplit="1" ySplit="2" topLeftCell="M3" activePane="bottomRight" state="frozen"/>
      <selection pane="bottomRight" activeCell="R9" sqref="R9"/>
      <selection pane="bottomLeft" activeCell="A3" sqref="A3"/>
      <selection pane="topRight" activeCell="M1" sqref="M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6" t="s">
        <v>73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36" t="s">
        <v>74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29">
        <v>0</v>
      </c>
      <c r="H4" s="29">
        <v>0</v>
      </c>
      <c r="I4" s="29">
        <v>0</v>
      </c>
      <c r="J4" s="29">
        <v>0</v>
      </c>
      <c r="K4" s="29">
        <v>0</v>
      </c>
      <c r="L4" s="29">
        <v>0</v>
      </c>
      <c r="M4" s="29">
        <v>0</v>
      </c>
      <c r="N4" s="29">
        <v>0</v>
      </c>
      <c r="O4" s="29">
        <v>0</v>
      </c>
      <c r="P4" s="29">
        <v>0</v>
      </c>
      <c r="Q4" s="29">
        <v>0</v>
      </c>
      <c r="R4" s="29">
        <v>0</v>
      </c>
      <c r="S4" s="29">
        <v>0</v>
      </c>
      <c r="T4" s="29">
        <v>0</v>
      </c>
      <c r="U4" s="29">
        <v>0</v>
      </c>
      <c r="V4" s="29">
        <v>0</v>
      </c>
      <c r="W4" s="29">
        <v>0</v>
      </c>
      <c r="X4" s="29">
        <v>0</v>
      </c>
      <c r="Y4" s="29">
        <v>0</v>
      </c>
      <c r="Z4" s="29">
        <v>0</v>
      </c>
      <c r="AA4" s="29">
        <v>0</v>
      </c>
      <c r="AB4" s="29">
        <v>0</v>
      </c>
      <c r="AC4" s="29">
        <v>0</v>
      </c>
      <c r="AD4" s="29">
        <v>0</v>
      </c>
      <c r="AE4" s="29">
        <v>0</v>
      </c>
      <c r="AF4" s="29">
        <v>0</v>
      </c>
      <c r="AG4" s="29">
        <v>0</v>
      </c>
      <c r="AH4" s="29">
        <v>0</v>
      </c>
      <c r="AI4" s="29">
        <v>0</v>
      </c>
      <c r="AJ4" s="29">
        <v>0</v>
      </c>
      <c r="AK4" s="29">
        <v>0</v>
      </c>
      <c r="AL4" s="29">
        <v>0</v>
      </c>
      <c r="AM4" s="29">
        <v>0</v>
      </c>
      <c r="AN4" s="29">
        <v>0</v>
      </c>
      <c r="AO4" s="29">
        <v>0</v>
      </c>
      <c r="AP4" s="29">
        <v>0</v>
      </c>
      <c r="AQ4" s="29">
        <v>0</v>
      </c>
      <c r="AR4" s="29">
        <v>0</v>
      </c>
      <c r="AS4" s="29">
        <v>0</v>
      </c>
    </row>
    <row r="5" spans="1:45" ht="18" customHeight="1">
      <c r="A5" s="36" t="s">
        <v>75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>
        <v>0</v>
      </c>
      <c r="O5" s="29">
        <v>0</v>
      </c>
      <c r="P5" s="29">
        <v>0</v>
      </c>
      <c r="Q5" s="29">
        <v>0</v>
      </c>
      <c r="R5" s="29">
        <v>0</v>
      </c>
      <c r="S5" s="29">
        <v>-30000</v>
      </c>
      <c r="T5" s="29">
        <v>0</v>
      </c>
      <c r="U5" s="29">
        <v>0</v>
      </c>
      <c r="V5" s="29">
        <v>0</v>
      </c>
      <c r="W5" s="29">
        <v>0</v>
      </c>
      <c r="X5" s="29">
        <v>0</v>
      </c>
      <c r="Y5" s="29">
        <v>0</v>
      </c>
      <c r="Z5" s="29">
        <v>0</v>
      </c>
      <c r="AA5" s="29">
        <v>0</v>
      </c>
      <c r="AB5" s="29">
        <v>0</v>
      </c>
      <c r="AC5" s="29">
        <v>0</v>
      </c>
      <c r="AD5" s="29">
        <v>0</v>
      </c>
      <c r="AE5" s="29">
        <v>0</v>
      </c>
      <c r="AF5" s="29">
        <v>0</v>
      </c>
      <c r="AG5" s="29">
        <v>0</v>
      </c>
      <c r="AH5" s="29">
        <v>0</v>
      </c>
      <c r="AI5" s="29">
        <v>0</v>
      </c>
      <c r="AJ5" s="29">
        <v>0</v>
      </c>
      <c r="AK5" s="29">
        <v>0</v>
      </c>
      <c r="AL5" s="29">
        <v>0</v>
      </c>
      <c r="AM5" s="29">
        <v>0</v>
      </c>
      <c r="AN5" s="29">
        <v>0</v>
      </c>
      <c r="AO5" s="29">
        <v>0</v>
      </c>
      <c r="AP5" s="29">
        <v>0</v>
      </c>
      <c r="AQ5" s="29">
        <v>0</v>
      </c>
      <c r="AR5" s="29">
        <v>0</v>
      </c>
      <c r="AS5" s="29">
        <v>0</v>
      </c>
    </row>
    <row r="6" spans="1:45" ht="18" customHeight="1">
      <c r="A6" s="36" t="s">
        <v>76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-35000</v>
      </c>
      <c r="J6" s="29">
        <v>0</v>
      </c>
      <c r="K6" s="29">
        <v>0</v>
      </c>
      <c r="L6" s="29">
        <v>0</v>
      </c>
      <c r="M6" s="29">
        <v>-39000</v>
      </c>
      <c r="N6" s="29">
        <v>-39000</v>
      </c>
      <c r="O6" s="29">
        <v>0</v>
      </c>
      <c r="P6" s="29">
        <v>0</v>
      </c>
      <c r="Q6" s="29">
        <v>0</v>
      </c>
      <c r="R6" s="29">
        <v>0</v>
      </c>
      <c r="S6" s="29"/>
      <c r="T6" s="29"/>
      <c r="U6" s="29"/>
      <c r="V6" s="29"/>
      <c r="W6" s="29"/>
      <c r="X6" s="29">
        <v>0</v>
      </c>
      <c r="Y6" s="29">
        <v>0</v>
      </c>
      <c r="Z6" s="29">
        <v>0</v>
      </c>
      <c r="AA6" s="29">
        <v>0</v>
      </c>
      <c r="AB6" s="29">
        <v>0</v>
      </c>
      <c r="AC6" s="29">
        <v>0</v>
      </c>
      <c r="AD6" s="29">
        <v>0</v>
      </c>
      <c r="AE6" s="29">
        <v>0</v>
      </c>
      <c r="AF6" s="29">
        <v>0</v>
      </c>
      <c r="AG6" s="29">
        <v>0</v>
      </c>
      <c r="AH6" s="29">
        <v>0</v>
      </c>
      <c r="AI6" s="29">
        <v>0</v>
      </c>
      <c r="AJ6" s="29">
        <v>0</v>
      </c>
      <c r="AK6" s="29">
        <v>0</v>
      </c>
      <c r="AL6" s="29">
        <v>0</v>
      </c>
      <c r="AM6" s="29">
        <v>0</v>
      </c>
      <c r="AN6" s="29">
        <v>0</v>
      </c>
      <c r="AO6" s="29">
        <v>0</v>
      </c>
      <c r="AP6" s="29">
        <v>0</v>
      </c>
      <c r="AQ6" s="29">
        <v>0</v>
      </c>
      <c r="AR6" s="29">
        <v>0</v>
      </c>
      <c r="AS6" s="29">
        <v>0</v>
      </c>
    </row>
    <row r="7" spans="1:45" ht="18" customHeight="1">
      <c r="A7" s="36" t="s">
        <v>77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29">
        <v>0</v>
      </c>
      <c r="H7" s="29">
        <v>0</v>
      </c>
      <c r="I7" s="29">
        <v>-35000</v>
      </c>
      <c r="J7" s="29">
        <v>0</v>
      </c>
      <c r="K7" s="29">
        <v>0</v>
      </c>
      <c r="L7" s="29">
        <v>0</v>
      </c>
      <c r="M7" s="29">
        <v>0</v>
      </c>
      <c r="N7" s="29">
        <v>0</v>
      </c>
      <c r="O7" s="29">
        <v>0</v>
      </c>
      <c r="P7" s="29">
        <v>0</v>
      </c>
      <c r="Q7" s="29">
        <v>0</v>
      </c>
      <c r="R7" s="29">
        <v>0</v>
      </c>
      <c r="S7" s="29">
        <v>0</v>
      </c>
      <c r="T7" s="29">
        <v>0</v>
      </c>
      <c r="U7" s="29">
        <v>0</v>
      </c>
      <c r="V7" s="29">
        <v>0</v>
      </c>
      <c r="W7" s="29">
        <v>0</v>
      </c>
      <c r="X7" s="29">
        <v>0</v>
      </c>
      <c r="Y7" s="29">
        <v>0</v>
      </c>
      <c r="Z7" s="29">
        <v>0</v>
      </c>
      <c r="AA7" s="29">
        <v>0</v>
      </c>
      <c r="AB7" s="29">
        <v>0</v>
      </c>
      <c r="AC7" s="29">
        <v>0</v>
      </c>
      <c r="AD7" s="29">
        <v>0</v>
      </c>
      <c r="AE7" s="29">
        <v>0</v>
      </c>
      <c r="AF7" s="29">
        <v>0</v>
      </c>
      <c r="AG7" s="29">
        <v>0</v>
      </c>
      <c r="AH7" s="29">
        <v>0</v>
      </c>
      <c r="AI7" s="29">
        <v>0</v>
      </c>
      <c r="AJ7" s="29">
        <v>0</v>
      </c>
      <c r="AK7" s="29">
        <v>0</v>
      </c>
      <c r="AL7" s="29">
        <v>0</v>
      </c>
      <c r="AM7" s="29">
        <v>0</v>
      </c>
      <c r="AN7" s="29">
        <v>0</v>
      </c>
      <c r="AO7" s="29">
        <v>0</v>
      </c>
      <c r="AP7" s="29">
        <v>0</v>
      </c>
      <c r="AQ7" s="29">
        <v>0</v>
      </c>
      <c r="AR7" s="29">
        <v>0</v>
      </c>
      <c r="AS7" s="29">
        <v>0</v>
      </c>
    </row>
    <row r="8" spans="1:45" ht="18" customHeight="1">
      <c r="A8" s="36" t="s">
        <v>78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29">
        <v>0</v>
      </c>
      <c r="H8" s="29">
        <v>0</v>
      </c>
      <c r="I8" s="29">
        <v>0</v>
      </c>
      <c r="J8" s="29">
        <v>0</v>
      </c>
      <c r="K8" s="29">
        <v>0</v>
      </c>
      <c r="L8" s="29">
        <v>0</v>
      </c>
      <c r="M8" s="29">
        <v>0</v>
      </c>
      <c r="N8" s="29">
        <v>0</v>
      </c>
      <c r="O8" s="29">
        <v>0</v>
      </c>
      <c r="P8" s="29">
        <v>0</v>
      </c>
      <c r="Q8" s="29">
        <v>0</v>
      </c>
      <c r="R8" s="29">
        <v>0</v>
      </c>
      <c r="S8" s="29">
        <v>0</v>
      </c>
      <c r="T8" s="29">
        <v>0</v>
      </c>
      <c r="U8" s="29">
        <v>0</v>
      </c>
      <c r="V8" s="29">
        <v>0</v>
      </c>
      <c r="W8" s="29">
        <v>0</v>
      </c>
      <c r="X8" s="29">
        <v>0</v>
      </c>
      <c r="Y8" s="29">
        <v>0</v>
      </c>
      <c r="Z8" s="29">
        <v>0</v>
      </c>
      <c r="AA8" s="29">
        <v>0</v>
      </c>
      <c r="AB8" s="29">
        <v>0</v>
      </c>
      <c r="AC8" s="29">
        <v>0</v>
      </c>
      <c r="AD8" s="29">
        <v>0</v>
      </c>
      <c r="AE8" s="29">
        <v>0</v>
      </c>
      <c r="AF8" s="29">
        <v>0</v>
      </c>
      <c r="AG8" s="29">
        <v>0</v>
      </c>
      <c r="AH8" s="29">
        <v>0</v>
      </c>
      <c r="AI8" s="29">
        <v>0</v>
      </c>
      <c r="AJ8" s="29">
        <v>0</v>
      </c>
      <c r="AK8" s="29">
        <v>0</v>
      </c>
      <c r="AL8" s="29">
        <v>0</v>
      </c>
      <c r="AM8" s="29">
        <v>0</v>
      </c>
      <c r="AN8" s="29">
        <v>0</v>
      </c>
      <c r="AO8" s="29">
        <v>0</v>
      </c>
      <c r="AP8" s="29">
        <v>0</v>
      </c>
      <c r="AQ8" s="29">
        <v>0</v>
      </c>
      <c r="AR8" s="29">
        <v>0</v>
      </c>
      <c r="AS8" s="29">
        <v>0</v>
      </c>
    </row>
    <row r="9" spans="1:45" ht="18" customHeight="1">
      <c r="A9" s="36" t="s">
        <v>79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29">
        <v>0</v>
      </c>
      <c r="H9" s="29">
        <v>0</v>
      </c>
      <c r="I9" s="29">
        <v>0</v>
      </c>
      <c r="J9" s="29">
        <v>0</v>
      </c>
      <c r="K9" s="29">
        <v>0</v>
      </c>
      <c r="L9" s="29">
        <v>0</v>
      </c>
      <c r="M9" s="29">
        <v>0</v>
      </c>
      <c r="N9" s="29">
        <v>0</v>
      </c>
      <c r="O9" s="29">
        <v>0</v>
      </c>
      <c r="P9" s="29">
        <v>0</v>
      </c>
      <c r="Q9" s="29">
        <v>-180000</v>
      </c>
      <c r="R9" s="29">
        <v>-360000</v>
      </c>
      <c r="S9" s="29">
        <v>-180000</v>
      </c>
      <c r="T9" s="29">
        <v>-180000</v>
      </c>
      <c r="U9" s="29">
        <v>-180000</v>
      </c>
      <c r="V9" s="29">
        <v>-180000</v>
      </c>
      <c r="W9" s="29">
        <v>-180000</v>
      </c>
      <c r="X9" s="29">
        <v>0</v>
      </c>
      <c r="Y9" s="29">
        <v>0</v>
      </c>
      <c r="Z9" s="29">
        <v>0</v>
      </c>
      <c r="AA9" s="29">
        <v>0</v>
      </c>
      <c r="AB9" s="29">
        <v>0</v>
      </c>
      <c r="AC9" s="29">
        <v>0</v>
      </c>
      <c r="AD9" s="29">
        <v>0</v>
      </c>
      <c r="AE9" s="29">
        <v>0</v>
      </c>
      <c r="AF9" s="29">
        <v>0</v>
      </c>
      <c r="AG9" s="29">
        <v>0</v>
      </c>
      <c r="AH9" s="29">
        <v>0</v>
      </c>
      <c r="AI9" s="29">
        <v>0</v>
      </c>
      <c r="AJ9" s="29">
        <v>0</v>
      </c>
      <c r="AK9" s="29">
        <v>0</v>
      </c>
      <c r="AL9" s="29">
        <v>0</v>
      </c>
      <c r="AM9" s="29">
        <v>0</v>
      </c>
      <c r="AN9" s="29">
        <v>0</v>
      </c>
      <c r="AO9" s="29">
        <v>0</v>
      </c>
      <c r="AP9" s="29">
        <v>0</v>
      </c>
      <c r="AQ9" s="29">
        <v>0</v>
      </c>
      <c r="AR9" s="29">
        <v>0</v>
      </c>
      <c r="AS9" s="29">
        <v>0</v>
      </c>
    </row>
    <row r="10" spans="1:45">
      <c r="A10" s="45" t="s">
        <v>72</v>
      </c>
      <c r="B10" s="46">
        <f t="shared" ref="B10:AS10" si="0">SUM(B4:B9)</f>
        <v>0</v>
      </c>
      <c r="C10" s="46">
        <f t="shared" si="0"/>
        <v>0</v>
      </c>
      <c r="D10" s="46">
        <f t="shared" si="0"/>
        <v>0</v>
      </c>
      <c r="E10" s="46">
        <f t="shared" si="0"/>
        <v>0</v>
      </c>
      <c r="F10" s="46">
        <f t="shared" si="0"/>
        <v>0</v>
      </c>
      <c r="G10" s="46">
        <f t="shared" si="0"/>
        <v>0</v>
      </c>
      <c r="H10" s="46">
        <f t="shared" si="0"/>
        <v>0</v>
      </c>
      <c r="I10" s="46">
        <f t="shared" si="0"/>
        <v>-70000</v>
      </c>
      <c r="J10" s="46">
        <f t="shared" si="0"/>
        <v>0</v>
      </c>
      <c r="K10" s="46">
        <f t="shared" si="0"/>
        <v>0</v>
      </c>
      <c r="L10" s="46">
        <f t="shared" si="0"/>
        <v>0</v>
      </c>
      <c r="M10" s="46">
        <f t="shared" si="0"/>
        <v>-39000</v>
      </c>
      <c r="N10" s="46">
        <f t="shared" si="0"/>
        <v>-39000</v>
      </c>
      <c r="O10" s="46">
        <f t="shared" si="0"/>
        <v>0</v>
      </c>
      <c r="P10" s="46">
        <f t="shared" si="0"/>
        <v>0</v>
      </c>
      <c r="Q10" s="46">
        <f t="shared" si="0"/>
        <v>-180000</v>
      </c>
      <c r="R10" s="46">
        <f t="shared" si="0"/>
        <v>-360000</v>
      </c>
      <c r="S10" s="46">
        <f t="shared" si="0"/>
        <v>-210000</v>
      </c>
      <c r="T10" s="46">
        <f t="shared" si="0"/>
        <v>-180000</v>
      </c>
      <c r="U10" s="46">
        <f t="shared" si="0"/>
        <v>-180000</v>
      </c>
      <c r="V10" s="46">
        <f t="shared" si="0"/>
        <v>-180000</v>
      </c>
      <c r="W10" s="46">
        <f t="shared" si="0"/>
        <v>-180000</v>
      </c>
      <c r="X10" s="46">
        <f t="shared" si="0"/>
        <v>0</v>
      </c>
      <c r="Y10" s="46">
        <f t="shared" si="0"/>
        <v>0</v>
      </c>
      <c r="Z10" s="46">
        <f t="shared" si="0"/>
        <v>0</v>
      </c>
      <c r="AA10" s="46">
        <f t="shared" si="0"/>
        <v>0</v>
      </c>
      <c r="AB10" s="46">
        <f t="shared" si="0"/>
        <v>0</v>
      </c>
      <c r="AC10" s="46">
        <f t="shared" si="0"/>
        <v>0</v>
      </c>
      <c r="AD10" s="46">
        <f t="shared" si="0"/>
        <v>0</v>
      </c>
      <c r="AE10" s="46">
        <f t="shared" si="0"/>
        <v>0</v>
      </c>
      <c r="AF10" s="46">
        <f t="shared" si="0"/>
        <v>0</v>
      </c>
      <c r="AG10" s="46">
        <f t="shared" si="0"/>
        <v>0</v>
      </c>
      <c r="AH10" s="46">
        <f t="shared" si="0"/>
        <v>0</v>
      </c>
      <c r="AI10" s="46">
        <f t="shared" si="0"/>
        <v>0</v>
      </c>
      <c r="AJ10" s="46">
        <f t="shared" si="0"/>
        <v>0</v>
      </c>
      <c r="AK10" s="46">
        <f t="shared" si="0"/>
        <v>0</v>
      </c>
      <c r="AL10" s="46">
        <f t="shared" si="0"/>
        <v>0</v>
      </c>
      <c r="AM10" s="46">
        <f t="shared" si="0"/>
        <v>0</v>
      </c>
      <c r="AN10" s="46">
        <f t="shared" si="0"/>
        <v>0</v>
      </c>
      <c r="AO10" s="46">
        <f t="shared" si="0"/>
        <v>0</v>
      </c>
      <c r="AP10" s="46">
        <f t="shared" si="0"/>
        <v>0</v>
      </c>
      <c r="AQ10" s="46">
        <f t="shared" si="0"/>
        <v>0</v>
      </c>
      <c r="AR10" s="46">
        <f t="shared" si="0"/>
        <v>0</v>
      </c>
      <c r="AS10" s="46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S11"/>
  <sheetViews>
    <sheetView zoomScaleNormal="100" workbookViewId="0">
      <pane xSplit="1" ySplit="2" topLeftCell="L3" activePane="bottomRight" state="frozen"/>
      <selection pane="bottomRight" activeCell="Q10" activeCellId="3" sqref="Q5 Q6 Q8 Q10"/>
      <selection pane="bottomLeft" activeCell="A3" sqref="A3"/>
      <selection pane="topRight" activeCell="L1" sqref="L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7" t="s">
        <v>80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47" t="s">
        <v>81</v>
      </c>
      <c r="B4" s="31">
        <v>0</v>
      </c>
      <c r="C4" s="31">
        <v>0</v>
      </c>
      <c r="D4" s="31">
        <v>0</v>
      </c>
      <c r="E4" s="31">
        <v>-24000</v>
      </c>
      <c r="F4" s="31">
        <v>-24000</v>
      </c>
      <c r="G4" s="31">
        <v>-31200</v>
      </c>
      <c r="H4" s="31">
        <v>-58500</v>
      </c>
      <c r="I4" s="31">
        <v>-31200</v>
      </c>
      <c r="J4" s="31">
        <v>-31200</v>
      </c>
      <c r="K4" s="31">
        <v>-32500</v>
      </c>
      <c r="L4" s="31">
        <v>-35000</v>
      </c>
      <c r="M4" s="31">
        <v>-35000</v>
      </c>
      <c r="N4" s="31">
        <v>-35000</v>
      </c>
      <c r="O4" s="31">
        <v>-35000</v>
      </c>
      <c r="P4" s="31">
        <v>-35000</v>
      </c>
      <c r="Q4" s="31">
        <v>0</v>
      </c>
      <c r="R4" s="31">
        <v>-35000</v>
      </c>
      <c r="S4" s="31">
        <v>-35000</v>
      </c>
      <c r="T4" s="31">
        <v>-35000</v>
      </c>
      <c r="U4" s="31">
        <v>-35000</v>
      </c>
      <c r="V4" s="31">
        <v>-35000</v>
      </c>
      <c r="W4" s="31">
        <v>-35000</v>
      </c>
      <c r="X4" s="31">
        <v>-35000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  <c r="AE4" s="31">
        <v>0</v>
      </c>
      <c r="AF4" s="31">
        <v>0</v>
      </c>
      <c r="AG4" s="31">
        <v>0</v>
      </c>
      <c r="AH4" s="31">
        <v>0</v>
      </c>
      <c r="AI4" s="31">
        <v>0</v>
      </c>
      <c r="AJ4" s="31">
        <v>0</v>
      </c>
      <c r="AK4" s="31">
        <v>0</v>
      </c>
      <c r="AL4" s="31">
        <v>0</v>
      </c>
      <c r="AM4" s="31">
        <v>0</v>
      </c>
      <c r="AN4" s="31">
        <v>0</v>
      </c>
      <c r="AO4" s="31">
        <v>0</v>
      </c>
      <c r="AP4" s="31">
        <v>0</v>
      </c>
      <c r="AQ4" s="31">
        <v>0</v>
      </c>
      <c r="AR4" s="31">
        <v>0</v>
      </c>
      <c r="AS4" s="31">
        <v>0</v>
      </c>
    </row>
    <row r="5" spans="1:45" ht="18" customHeight="1">
      <c r="A5" s="47" t="s">
        <v>82</v>
      </c>
      <c r="B5" s="31">
        <v>0</v>
      </c>
      <c r="C5" s="31">
        <v>0</v>
      </c>
      <c r="D5" s="31">
        <v>0</v>
      </c>
      <c r="E5" s="31">
        <v>0</v>
      </c>
      <c r="F5" s="31">
        <v>-223000</v>
      </c>
      <c r="G5" s="31">
        <v>-200000</v>
      </c>
      <c r="H5" s="31">
        <v>-161000</v>
      </c>
      <c r="I5" s="31">
        <v>-200000</v>
      </c>
      <c r="J5" s="31">
        <v>-206100</v>
      </c>
      <c r="K5" s="31">
        <v>-200000</v>
      </c>
      <c r="L5" s="31">
        <v>-200000</v>
      </c>
      <c r="M5" s="31">
        <v>-220000</v>
      </c>
      <c r="N5" s="31">
        <v>-220000</v>
      </c>
      <c r="O5" s="31">
        <v>-170000</v>
      </c>
      <c r="P5" s="31">
        <v>-170000</v>
      </c>
      <c r="Q5" s="31">
        <v>-170000</v>
      </c>
      <c r="R5" s="31">
        <v>-170000</v>
      </c>
      <c r="S5" s="31">
        <v>-200000</v>
      </c>
      <c r="T5" s="31">
        <v>-200000</v>
      </c>
      <c r="U5" s="31">
        <v>-200000</v>
      </c>
      <c r="V5" s="31">
        <v>-200000</v>
      </c>
      <c r="W5" s="31">
        <v>-200000</v>
      </c>
      <c r="X5" s="31">
        <v>-220000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  <c r="AE5" s="31">
        <v>0</v>
      </c>
      <c r="AF5" s="31">
        <v>0</v>
      </c>
      <c r="AG5" s="31">
        <v>0</v>
      </c>
      <c r="AH5" s="31">
        <v>0</v>
      </c>
      <c r="AI5" s="31">
        <v>0</v>
      </c>
      <c r="AJ5" s="31">
        <v>0</v>
      </c>
      <c r="AK5" s="31">
        <v>0</v>
      </c>
      <c r="AL5" s="31">
        <v>0</v>
      </c>
      <c r="AM5" s="31">
        <v>0</v>
      </c>
      <c r="AN5" s="31">
        <v>0</v>
      </c>
      <c r="AO5" s="31">
        <v>0</v>
      </c>
      <c r="AP5" s="31">
        <v>0</v>
      </c>
      <c r="AQ5" s="31">
        <v>0</v>
      </c>
      <c r="AR5" s="31">
        <v>0</v>
      </c>
      <c r="AS5" s="31">
        <v>0</v>
      </c>
    </row>
    <row r="6" spans="1:45" ht="18" customHeight="1">
      <c r="A6" s="47" t="s">
        <v>83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  <c r="G6" s="31">
        <v>0</v>
      </c>
      <c r="H6" s="31">
        <v>-136300</v>
      </c>
      <c r="I6" s="31">
        <v>-97000</v>
      </c>
      <c r="J6" s="31">
        <v>-79000</v>
      </c>
      <c r="K6" s="31">
        <v>-100000</v>
      </c>
      <c r="L6" s="31">
        <v>-87000</v>
      </c>
      <c r="M6" s="31">
        <v>-89000</v>
      </c>
      <c r="N6" s="31">
        <v>-100000</v>
      </c>
      <c r="O6" s="31">
        <v>-98000</v>
      </c>
      <c r="P6" s="31">
        <v>-109000</v>
      </c>
      <c r="Q6" s="31">
        <v>-110000</v>
      </c>
      <c r="R6" s="31">
        <v>-110000</v>
      </c>
      <c r="S6" s="31">
        <v>-110000</v>
      </c>
      <c r="T6" s="31">
        <v>-110000</v>
      </c>
      <c r="U6" s="31">
        <v>-110000</v>
      </c>
      <c r="V6" s="31">
        <v>-110000</v>
      </c>
      <c r="W6" s="31">
        <v>-110000</v>
      </c>
      <c r="X6" s="31">
        <v>-110000</v>
      </c>
      <c r="Y6" s="31">
        <v>0</v>
      </c>
      <c r="Z6" s="31">
        <v>0</v>
      </c>
      <c r="AA6" s="31">
        <v>0</v>
      </c>
      <c r="AB6" s="31">
        <v>0</v>
      </c>
      <c r="AC6" s="31">
        <v>0</v>
      </c>
      <c r="AD6" s="31">
        <v>0</v>
      </c>
      <c r="AE6" s="31">
        <v>0</v>
      </c>
      <c r="AF6" s="31">
        <v>0</v>
      </c>
      <c r="AG6" s="31">
        <v>0</v>
      </c>
      <c r="AH6" s="31">
        <v>0</v>
      </c>
      <c r="AI6" s="31">
        <v>0</v>
      </c>
      <c r="AJ6" s="31">
        <v>0</v>
      </c>
      <c r="AK6" s="31">
        <v>0</v>
      </c>
      <c r="AL6" s="31">
        <v>0</v>
      </c>
      <c r="AM6" s="31">
        <v>0</v>
      </c>
      <c r="AN6" s="31">
        <v>0</v>
      </c>
      <c r="AO6" s="31">
        <v>0</v>
      </c>
      <c r="AP6" s="31">
        <v>0</v>
      </c>
      <c r="AQ6" s="31">
        <v>0</v>
      </c>
      <c r="AR6" s="31">
        <v>0</v>
      </c>
      <c r="AS6" s="31">
        <v>0</v>
      </c>
    </row>
    <row r="7" spans="1:45" ht="18" customHeight="1">
      <c r="A7" s="47" t="s">
        <v>84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-75000</v>
      </c>
      <c r="I7" s="31">
        <v>-70000</v>
      </c>
      <c r="J7" s="31">
        <v>-75000</v>
      </c>
      <c r="K7" s="31">
        <v>-100000</v>
      </c>
      <c r="L7" s="31">
        <v>0</v>
      </c>
      <c r="M7" s="31">
        <v>0</v>
      </c>
      <c r="N7" s="31">
        <v>0</v>
      </c>
      <c r="O7" s="31">
        <v>0</v>
      </c>
      <c r="P7" s="31">
        <v>0</v>
      </c>
      <c r="Q7" s="31">
        <v>0</v>
      </c>
      <c r="R7" s="31">
        <v>0</v>
      </c>
      <c r="S7" s="31">
        <v>0</v>
      </c>
      <c r="T7" s="31">
        <v>0</v>
      </c>
      <c r="U7" s="31">
        <v>0</v>
      </c>
      <c r="V7" s="31">
        <v>0</v>
      </c>
      <c r="W7" s="31">
        <v>0</v>
      </c>
      <c r="X7" s="31">
        <v>0</v>
      </c>
      <c r="Y7" s="31">
        <v>0</v>
      </c>
      <c r="Z7" s="31">
        <v>0</v>
      </c>
      <c r="AA7" s="31">
        <v>0</v>
      </c>
      <c r="AB7" s="31">
        <v>0</v>
      </c>
      <c r="AC7" s="31">
        <v>0</v>
      </c>
      <c r="AD7" s="31">
        <v>0</v>
      </c>
      <c r="AE7" s="31">
        <v>0</v>
      </c>
      <c r="AF7" s="31">
        <v>0</v>
      </c>
      <c r="AG7" s="31">
        <v>0</v>
      </c>
      <c r="AH7" s="31">
        <v>0</v>
      </c>
      <c r="AI7" s="31">
        <v>0</v>
      </c>
      <c r="AJ7" s="31">
        <v>0</v>
      </c>
      <c r="AK7" s="31">
        <v>0</v>
      </c>
      <c r="AL7" s="31">
        <v>0</v>
      </c>
      <c r="AM7" s="31">
        <v>0</v>
      </c>
      <c r="AN7" s="31">
        <v>0</v>
      </c>
      <c r="AO7" s="31">
        <v>0</v>
      </c>
      <c r="AP7" s="31">
        <v>0</v>
      </c>
      <c r="AQ7" s="31">
        <v>0</v>
      </c>
      <c r="AR7" s="31">
        <v>0</v>
      </c>
      <c r="AS7" s="31">
        <v>0</v>
      </c>
    </row>
    <row r="8" spans="1:45" ht="18" customHeight="1">
      <c r="A8" s="47" t="s">
        <v>85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-21000</v>
      </c>
      <c r="J8" s="31">
        <v>-18000</v>
      </c>
      <c r="K8" s="31">
        <v>-18000</v>
      </c>
      <c r="L8" s="31">
        <v>-18000</v>
      </c>
      <c r="M8" s="31">
        <v>-20000</v>
      </c>
      <c r="N8" s="31">
        <v>-22000</v>
      </c>
      <c r="O8" s="31">
        <v>-21000</v>
      </c>
      <c r="P8" s="31">
        <v>-21000</v>
      </c>
      <c r="Q8" s="31">
        <v>-27880</v>
      </c>
      <c r="R8" s="31">
        <v>-27880</v>
      </c>
      <c r="S8" s="31">
        <v>-27880</v>
      </c>
      <c r="T8" s="31">
        <v>-27880</v>
      </c>
      <c r="U8" s="31">
        <v>-27880</v>
      </c>
      <c r="V8" s="31">
        <v>-27880</v>
      </c>
      <c r="W8" s="31">
        <v>-27880</v>
      </c>
      <c r="X8" s="31">
        <v>-22000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</row>
    <row r="9" spans="1:45" ht="18" customHeight="1">
      <c r="A9" s="47" t="s">
        <v>86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-89600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</row>
    <row r="10" spans="1:45" ht="18" customHeight="1">
      <c r="A10" s="47" t="s">
        <v>87</v>
      </c>
      <c r="B10" s="31">
        <v>0</v>
      </c>
      <c r="C10" s="31">
        <v>0</v>
      </c>
      <c r="D10" s="31">
        <v>0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1">
        <v>0</v>
      </c>
      <c r="N10" s="31">
        <v>-55804</v>
      </c>
      <c r="O10" s="31">
        <v>-18601.259999999998</v>
      </c>
      <c r="P10" s="31">
        <v>-18601.259999999998</v>
      </c>
      <c r="Q10" s="31">
        <v>-18601.259999999998</v>
      </c>
      <c r="R10" s="31">
        <v>-18601.259999999998</v>
      </c>
      <c r="S10" s="31">
        <v>-18601.259999999998</v>
      </c>
      <c r="T10" s="31">
        <v>-18601.259999999998</v>
      </c>
      <c r="U10" s="31">
        <v>-18601.259999999998</v>
      </c>
      <c r="V10" s="31">
        <v>-18601.259999999998</v>
      </c>
      <c r="W10" s="31">
        <v>-18601.259999999998</v>
      </c>
      <c r="X10" s="31">
        <v>-18601.259999999998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</row>
    <row r="11" spans="1:45">
      <c r="A11" s="48" t="s">
        <v>72</v>
      </c>
      <c r="B11" s="49">
        <f t="shared" ref="B11:AS11" si="0">SUM(B4:B10)</f>
        <v>0</v>
      </c>
      <c r="C11" s="49">
        <f t="shared" si="0"/>
        <v>0</v>
      </c>
      <c r="D11" s="49">
        <f t="shared" si="0"/>
        <v>0</v>
      </c>
      <c r="E11" s="49">
        <f t="shared" si="0"/>
        <v>-24000</v>
      </c>
      <c r="F11" s="49">
        <f t="shared" si="0"/>
        <v>-247000</v>
      </c>
      <c r="G11" s="49">
        <f t="shared" si="0"/>
        <v>-231200</v>
      </c>
      <c r="H11" s="49">
        <f t="shared" si="0"/>
        <v>-430800</v>
      </c>
      <c r="I11" s="49">
        <f t="shared" si="0"/>
        <v>-419200</v>
      </c>
      <c r="J11" s="49">
        <f t="shared" si="0"/>
        <v>-409300</v>
      </c>
      <c r="K11" s="49">
        <f t="shared" si="0"/>
        <v>-450500</v>
      </c>
      <c r="L11" s="49">
        <f t="shared" si="0"/>
        <v>-340000</v>
      </c>
      <c r="M11" s="49">
        <f t="shared" si="0"/>
        <v>-453600</v>
      </c>
      <c r="N11" s="49">
        <f t="shared" si="0"/>
        <v>-432804</v>
      </c>
      <c r="O11" s="49">
        <f t="shared" si="0"/>
        <v>-342601.26</v>
      </c>
      <c r="P11" s="49">
        <f t="shared" si="0"/>
        <v>-353601.26</v>
      </c>
      <c r="Q11" s="49">
        <f t="shared" si="0"/>
        <v>-326481.26</v>
      </c>
      <c r="R11" s="49">
        <f t="shared" si="0"/>
        <v>-361481.26</v>
      </c>
      <c r="S11" s="49">
        <f t="shared" si="0"/>
        <v>-391481.26</v>
      </c>
      <c r="T11" s="49">
        <f t="shared" si="0"/>
        <v>-391481.26</v>
      </c>
      <c r="U11" s="49">
        <f t="shared" si="0"/>
        <v>-391481.26</v>
      </c>
      <c r="V11" s="49">
        <f t="shared" si="0"/>
        <v>-391481.26</v>
      </c>
      <c r="W11" s="49">
        <f t="shared" si="0"/>
        <v>-391481.26</v>
      </c>
      <c r="X11" s="49">
        <f t="shared" si="0"/>
        <v>-405601.26</v>
      </c>
      <c r="Y11" s="49">
        <f t="shared" si="0"/>
        <v>0</v>
      </c>
      <c r="Z11" s="49">
        <f t="shared" si="0"/>
        <v>0</v>
      </c>
      <c r="AA11" s="49">
        <f t="shared" si="0"/>
        <v>0</v>
      </c>
      <c r="AB11" s="49">
        <f t="shared" si="0"/>
        <v>0</v>
      </c>
      <c r="AC11" s="49">
        <f t="shared" si="0"/>
        <v>0</v>
      </c>
      <c r="AD11" s="49">
        <f t="shared" si="0"/>
        <v>0</v>
      </c>
      <c r="AE11" s="49">
        <f t="shared" si="0"/>
        <v>0</v>
      </c>
      <c r="AF11" s="49">
        <f t="shared" si="0"/>
        <v>0</v>
      </c>
      <c r="AG11" s="49">
        <f t="shared" si="0"/>
        <v>0</v>
      </c>
      <c r="AH11" s="49">
        <f t="shared" si="0"/>
        <v>0</v>
      </c>
      <c r="AI11" s="49">
        <f t="shared" si="0"/>
        <v>0</v>
      </c>
      <c r="AJ11" s="49">
        <f t="shared" si="0"/>
        <v>0</v>
      </c>
      <c r="AK11" s="49">
        <f t="shared" si="0"/>
        <v>0</v>
      </c>
      <c r="AL11" s="49">
        <f t="shared" si="0"/>
        <v>0</v>
      </c>
      <c r="AM11" s="49">
        <f t="shared" si="0"/>
        <v>0</v>
      </c>
      <c r="AN11" s="49">
        <f t="shared" si="0"/>
        <v>0</v>
      </c>
      <c r="AO11" s="49">
        <f t="shared" si="0"/>
        <v>0</v>
      </c>
      <c r="AP11" s="49">
        <f t="shared" si="0"/>
        <v>0</v>
      </c>
      <c r="AQ11" s="49">
        <f t="shared" si="0"/>
        <v>0</v>
      </c>
      <c r="AR11" s="49">
        <f t="shared" si="0"/>
        <v>0</v>
      </c>
      <c r="AS11" s="49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S13"/>
  <sheetViews>
    <sheetView zoomScaleNormal="100" workbookViewId="0">
      <pane xSplit="1" ySplit="2" topLeftCell="O3" activePane="bottomRight" state="frozen"/>
      <selection pane="bottomRight" activeCell="T12" sqref="T12"/>
      <selection pane="bottomLeft" activeCell="A3" sqref="A3"/>
      <selection pane="topRight" activeCell="O1" sqref="O1"/>
    </sheetView>
  </sheetViews>
  <sheetFormatPr defaultColWidth="8.7109375" defaultRowHeight="15"/>
  <cols>
    <col min="1" max="1" width="28" customWidth="1"/>
    <col min="2" max="45" width="13" customWidth="1"/>
  </cols>
  <sheetData>
    <row r="1" spans="1:45" ht="19.5" customHeight="1">
      <c r="A1" s="25"/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  <c r="G1" s="1" t="s">
        <v>0</v>
      </c>
      <c r="H1" s="1" t="s">
        <v>0</v>
      </c>
      <c r="I1" s="1" t="s">
        <v>0</v>
      </c>
      <c r="J1" s="1" t="s">
        <v>0</v>
      </c>
      <c r="K1" s="1" t="s">
        <v>0</v>
      </c>
      <c r="L1" s="1" t="s">
        <v>1</v>
      </c>
      <c r="M1" s="1" t="s">
        <v>1</v>
      </c>
      <c r="N1" s="1" t="s">
        <v>1</v>
      </c>
      <c r="O1" s="1" t="s">
        <v>1</v>
      </c>
      <c r="P1" s="1" t="s">
        <v>1</v>
      </c>
      <c r="Q1" s="1" t="s">
        <v>1</v>
      </c>
      <c r="R1" s="1" t="s">
        <v>1</v>
      </c>
      <c r="S1" s="1" t="s">
        <v>1</v>
      </c>
      <c r="T1" s="1" t="s">
        <v>1</v>
      </c>
      <c r="U1" s="1" t="s">
        <v>1</v>
      </c>
      <c r="V1" s="1" t="s">
        <v>1</v>
      </c>
      <c r="W1" s="1" t="s">
        <v>1</v>
      </c>
      <c r="X1" s="1" t="s">
        <v>2</v>
      </c>
      <c r="Y1" s="1" t="s">
        <v>2</v>
      </c>
      <c r="Z1" s="1" t="s">
        <v>2</v>
      </c>
      <c r="AA1" s="1" t="s">
        <v>2</v>
      </c>
      <c r="AB1" s="1" t="s">
        <v>2</v>
      </c>
      <c r="AC1" s="1" t="s">
        <v>2</v>
      </c>
      <c r="AD1" s="1" t="s">
        <v>2</v>
      </c>
      <c r="AE1" s="1" t="s">
        <v>2</v>
      </c>
      <c r="AF1" s="1" t="s">
        <v>2</v>
      </c>
      <c r="AG1" s="1" t="s">
        <v>2</v>
      </c>
      <c r="AH1" s="1" t="s">
        <v>2</v>
      </c>
      <c r="AI1" s="1" t="s">
        <v>2</v>
      </c>
      <c r="AJ1" s="1" t="s">
        <v>3</v>
      </c>
      <c r="AK1" s="1" t="s">
        <v>3</v>
      </c>
      <c r="AL1" s="1" t="s">
        <v>3</v>
      </c>
      <c r="AM1" s="1" t="s">
        <v>3</v>
      </c>
      <c r="AN1" s="1" t="s">
        <v>3</v>
      </c>
      <c r="AO1" s="1" t="s">
        <v>3</v>
      </c>
      <c r="AP1" s="1" t="s">
        <v>3</v>
      </c>
      <c r="AQ1" s="1" t="s">
        <v>3</v>
      </c>
      <c r="AR1" s="1" t="s">
        <v>3</v>
      </c>
      <c r="AS1" s="1" t="s">
        <v>3</v>
      </c>
    </row>
    <row r="2" spans="1:45" ht="27.75" customHeight="1">
      <c r="A2" s="25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I2" s="2" t="s">
        <v>37</v>
      </c>
      <c r="AJ2" s="2" t="s">
        <v>38</v>
      </c>
      <c r="AK2" s="2" t="s">
        <v>39</v>
      </c>
      <c r="AL2" s="2" t="s">
        <v>40</v>
      </c>
      <c r="AM2" s="2" t="s">
        <v>41</v>
      </c>
      <c r="AN2" s="2" t="s">
        <v>42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</row>
    <row r="3" spans="1:45" ht="19.5" customHeight="1">
      <c r="A3" s="58" t="s">
        <v>88</v>
      </c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  <c r="AI3" s="55"/>
      <c r="AJ3" s="55"/>
      <c r="AK3" s="55"/>
      <c r="AL3" s="55"/>
      <c r="AM3" s="55"/>
      <c r="AN3" s="55"/>
      <c r="AO3" s="55"/>
      <c r="AP3" s="55"/>
      <c r="AQ3" s="55"/>
      <c r="AR3" s="55"/>
      <c r="AS3" s="55"/>
    </row>
    <row r="4" spans="1:45" ht="18" customHeight="1">
      <c r="A4" s="50" t="s">
        <v>89</v>
      </c>
      <c r="B4" s="33">
        <v>0</v>
      </c>
      <c r="C4" s="33">
        <v>0</v>
      </c>
      <c r="D4" s="33">
        <v>0</v>
      </c>
      <c r="E4" s="33">
        <v>0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-50000</v>
      </c>
      <c r="L4" s="33">
        <v>0</v>
      </c>
      <c r="M4" s="33">
        <v>0</v>
      </c>
      <c r="N4" s="33">
        <v>0</v>
      </c>
      <c r="O4" s="33">
        <v>0</v>
      </c>
      <c r="P4" s="33">
        <v>0</v>
      </c>
      <c r="Q4" s="33">
        <v>0</v>
      </c>
      <c r="R4" s="33">
        <v>0</v>
      </c>
      <c r="S4" s="33">
        <v>0</v>
      </c>
      <c r="T4" s="33">
        <v>0</v>
      </c>
      <c r="U4" s="33">
        <v>0</v>
      </c>
      <c r="V4" s="33">
        <v>0</v>
      </c>
      <c r="W4" s="33">
        <v>0</v>
      </c>
      <c r="X4" s="33">
        <v>0</v>
      </c>
      <c r="Y4" s="33">
        <v>0</v>
      </c>
      <c r="Z4" s="33">
        <v>0</v>
      </c>
      <c r="AA4" s="33">
        <v>0</v>
      </c>
      <c r="AB4" s="33">
        <v>0</v>
      </c>
      <c r="AC4" s="33">
        <v>0</v>
      </c>
      <c r="AD4" s="33">
        <v>0</v>
      </c>
      <c r="AE4" s="33">
        <v>0</v>
      </c>
      <c r="AF4" s="33">
        <v>0</v>
      </c>
      <c r="AG4" s="33">
        <v>0</v>
      </c>
      <c r="AH4" s="33">
        <v>0</v>
      </c>
      <c r="AI4" s="33">
        <v>0</v>
      </c>
      <c r="AJ4" s="33">
        <v>0</v>
      </c>
      <c r="AK4" s="33">
        <v>0</v>
      </c>
      <c r="AL4" s="33">
        <v>0</v>
      </c>
      <c r="AM4" s="33">
        <v>0</v>
      </c>
      <c r="AN4" s="33">
        <v>0</v>
      </c>
      <c r="AO4" s="33">
        <v>0</v>
      </c>
      <c r="AP4" s="33">
        <v>0</v>
      </c>
      <c r="AQ4" s="33">
        <v>0</v>
      </c>
      <c r="AR4" s="33">
        <v>0</v>
      </c>
      <c r="AS4" s="33">
        <v>0</v>
      </c>
    </row>
    <row r="5" spans="1:45" ht="18" customHeight="1">
      <c r="A5" s="50" t="s">
        <v>90</v>
      </c>
      <c r="B5" s="33">
        <v>0</v>
      </c>
      <c r="C5" s="33">
        <v>0</v>
      </c>
      <c r="D5" s="33">
        <v>0</v>
      </c>
      <c r="E5" s="33">
        <v>0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-250000</v>
      </c>
      <c r="L5" s="33">
        <v>0</v>
      </c>
      <c r="M5" s="33">
        <v>0</v>
      </c>
      <c r="N5" s="33">
        <v>0</v>
      </c>
      <c r="O5" s="33">
        <v>0</v>
      </c>
      <c r="P5" s="33">
        <v>0</v>
      </c>
      <c r="Q5" s="33">
        <v>0</v>
      </c>
      <c r="R5" s="33">
        <v>0</v>
      </c>
      <c r="S5" s="33">
        <v>0</v>
      </c>
      <c r="T5" s="33">
        <v>0</v>
      </c>
      <c r="U5" s="33">
        <v>0</v>
      </c>
      <c r="V5" s="33">
        <v>0</v>
      </c>
      <c r="W5" s="33">
        <v>0</v>
      </c>
      <c r="X5" s="33">
        <v>0</v>
      </c>
      <c r="Y5" s="33">
        <v>0</v>
      </c>
      <c r="Z5" s="33">
        <v>-350000</v>
      </c>
      <c r="AA5" s="33">
        <v>0</v>
      </c>
      <c r="AB5" s="33">
        <v>0</v>
      </c>
      <c r="AC5" s="33">
        <v>0</v>
      </c>
      <c r="AD5" s="33">
        <v>0</v>
      </c>
      <c r="AE5" s="33">
        <v>0</v>
      </c>
      <c r="AF5" s="33">
        <v>0</v>
      </c>
      <c r="AG5" s="33">
        <v>0</v>
      </c>
      <c r="AH5" s="33">
        <v>0</v>
      </c>
      <c r="AI5" s="33">
        <v>0</v>
      </c>
      <c r="AJ5" s="33">
        <v>0</v>
      </c>
      <c r="AK5" s="33">
        <v>0</v>
      </c>
      <c r="AL5" s="33">
        <v>0</v>
      </c>
      <c r="AM5" s="33">
        <v>0</v>
      </c>
      <c r="AN5" s="33">
        <v>0</v>
      </c>
      <c r="AO5" s="33">
        <v>0</v>
      </c>
      <c r="AP5" s="33">
        <v>0</v>
      </c>
      <c r="AQ5" s="33">
        <v>0</v>
      </c>
      <c r="AR5" s="33">
        <v>0</v>
      </c>
      <c r="AS5" s="33">
        <v>0</v>
      </c>
    </row>
    <row r="6" spans="1:45" ht="18" customHeight="1">
      <c r="A6" s="50" t="s">
        <v>91</v>
      </c>
      <c r="B6" s="33">
        <v>0</v>
      </c>
      <c r="C6" s="33">
        <v>0</v>
      </c>
      <c r="D6" s="33">
        <v>0</v>
      </c>
      <c r="E6" s="33">
        <v>0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0</v>
      </c>
      <c r="M6" s="33">
        <v>0</v>
      </c>
      <c r="N6" s="33">
        <v>0</v>
      </c>
      <c r="O6" s="33">
        <v>0</v>
      </c>
      <c r="P6" s="33">
        <v>0</v>
      </c>
      <c r="Q6" s="33">
        <v>0</v>
      </c>
      <c r="R6" s="33">
        <v>0</v>
      </c>
      <c r="S6" s="33">
        <v>0</v>
      </c>
      <c r="T6" s="33">
        <v>0</v>
      </c>
      <c r="U6" s="33">
        <v>0</v>
      </c>
      <c r="V6" s="33">
        <v>0</v>
      </c>
      <c r="W6" s="33">
        <v>0</v>
      </c>
      <c r="X6" s="33">
        <v>0</v>
      </c>
      <c r="Y6" s="33">
        <v>0</v>
      </c>
      <c r="Z6" s="33">
        <v>0</v>
      </c>
      <c r="AA6" s="33">
        <v>0</v>
      </c>
      <c r="AB6" s="33">
        <v>0</v>
      </c>
      <c r="AC6" s="33">
        <v>0</v>
      </c>
      <c r="AD6" s="33">
        <v>0</v>
      </c>
      <c r="AE6" s="33">
        <v>0</v>
      </c>
      <c r="AF6" s="33">
        <v>0</v>
      </c>
      <c r="AG6" s="33">
        <v>0</v>
      </c>
      <c r="AH6" s="33">
        <v>0</v>
      </c>
      <c r="AI6" s="33">
        <v>0</v>
      </c>
      <c r="AJ6" s="33">
        <v>0</v>
      </c>
      <c r="AK6" s="33">
        <v>0</v>
      </c>
      <c r="AL6" s="33">
        <v>0</v>
      </c>
      <c r="AM6" s="33">
        <v>0</v>
      </c>
      <c r="AN6" s="33">
        <v>0</v>
      </c>
      <c r="AO6" s="33">
        <v>0</v>
      </c>
      <c r="AP6" s="33">
        <v>0</v>
      </c>
      <c r="AQ6" s="33">
        <v>0</v>
      </c>
      <c r="AR6" s="33">
        <v>0</v>
      </c>
      <c r="AS6" s="33">
        <v>0</v>
      </c>
    </row>
    <row r="7" spans="1:45" ht="18" customHeight="1">
      <c r="A7" s="50" t="s">
        <v>92</v>
      </c>
      <c r="B7" s="33">
        <v>0</v>
      </c>
      <c r="C7" s="33">
        <v>0</v>
      </c>
      <c r="D7" s="33">
        <v>0</v>
      </c>
      <c r="E7" s="33">
        <v>0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0</v>
      </c>
      <c r="M7" s="33">
        <v>0</v>
      </c>
      <c r="N7" s="33">
        <v>0</v>
      </c>
      <c r="O7" s="33">
        <v>0</v>
      </c>
      <c r="P7" s="33">
        <v>0</v>
      </c>
      <c r="Q7" s="33">
        <v>0</v>
      </c>
      <c r="R7" s="33">
        <v>-200000</v>
      </c>
      <c r="S7" s="33">
        <v>0</v>
      </c>
      <c r="T7" s="33">
        <v>0</v>
      </c>
      <c r="U7" s="33">
        <v>0</v>
      </c>
      <c r="V7" s="33">
        <v>0</v>
      </c>
      <c r="W7" s="33">
        <v>0</v>
      </c>
      <c r="X7" s="33">
        <v>0</v>
      </c>
      <c r="Y7" s="33">
        <v>0</v>
      </c>
      <c r="Z7" s="33">
        <v>0</v>
      </c>
      <c r="AA7" s="33">
        <v>0</v>
      </c>
      <c r="AB7" s="33">
        <v>0</v>
      </c>
      <c r="AC7" s="33">
        <v>0</v>
      </c>
      <c r="AD7" s="33">
        <v>0</v>
      </c>
      <c r="AE7" s="33">
        <v>0</v>
      </c>
      <c r="AF7" s="33">
        <v>0</v>
      </c>
      <c r="AG7" s="33">
        <v>0</v>
      </c>
      <c r="AH7" s="33">
        <v>0</v>
      </c>
      <c r="AI7" s="33">
        <v>0</v>
      </c>
      <c r="AJ7" s="33">
        <v>0</v>
      </c>
      <c r="AK7" s="33">
        <v>0</v>
      </c>
      <c r="AL7" s="33">
        <v>0</v>
      </c>
      <c r="AM7" s="33">
        <v>0</v>
      </c>
      <c r="AN7" s="33">
        <v>0</v>
      </c>
      <c r="AO7" s="33">
        <v>0</v>
      </c>
      <c r="AP7" s="33">
        <v>0</v>
      </c>
      <c r="AQ7" s="33">
        <v>0</v>
      </c>
      <c r="AR7" s="33">
        <v>0</v>
      </c>
      <c r="AS7" s="33">
        <v>0</v>
      </c>
    </row>
    <row r="8" spans="1:45" ht="18" customHeight="1">
      <c r="A8" s="50" t="s">
        <v>93</v>
      </c>
      <c r="B8" s="33">
        <v>0</v>
      </c>
      <c r="C8" s="33">
        <v>0</v>
      </c>
      <c r="D8" s="33">
        <v>0</v>
      </c>
      <c r="E8" s="33">
        <v>0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0</v>
      </c>
      <c r="M8" s="33">
        <v>0</v>
      </c>
      <c r="N8" s="33">
        <v>0</v>
      </c>
      <c r="O8" s="33">
        <v>0</v>
      </c>
      <c r="P8" s="33">
        <v>0</v>
      </c>
      <c r="Q8" s="33">
        <v>-85000</v>
      </c>
      <c r="R8" s="33">
        <v>-70000</v>
      </c>
      <c r="S8" s="33">
        <v>-70000</v>
      </c>
      <c r="T8" s="33">
        <v>-70000</v>
      </c>
      <c r="U8" s="33">
        <v>-70000</v>
      </c>
      <c r="V8" s="33">
        <v>-70000</v>
      </c>
      <c r="W8" s="33">
        <v>0</v>
      </c>
      <c r="X8" s="33">
        <v>0</v>
      </c>
      <c r="Y8" s="33">
        <v>0</v>
      </c>
      <c r="Z8" s="33">
        <v>0</v>
      </c>
      <c r="AA8" s="33">
        <v>0</v>
      </c>
      <c r="AB8" s="33">
        <v>0</v>
      </c>
      <c r="AC8" s="33">
        <v>0</v>
      </c>
      <c r="AD8" s="33">
        <v>0</v>
      </c>
      <c r="AE8" s="33">
        <v>0</v>
      </c>
      <c r="AF8" s="33">
        <v>0</v>
      </c>
      <c r="AG8" s="33">
        <v>0</v>
      </c>
      <c r="AH8" s="33">
        <v>0</v>
      </c>
      <c r="AI8" s="33">
        <v>0</v>
      </c>
      <c r="AJ8" s="33">
        <v>0</v>
      </c>
      <c r="AK8" s="33">
        <v>0</v>
      </c>
      <c r="AL8" s="33">
        <v>0</v>
      </c>
      <c r="AM8" s="33">
        <v>0</v>
      </c>
      <c r="AN8" s="33">
        <v>0</v>
      </c>
      <c r="AO8" s="33">
        <v>0</v>
      </c>
      <c r="AP8" s="33">
        <v>0</v>
      </c>
      <c r="AQ8" s="33">
        <v>0</v>
      </c>
      <c r="AR8" s="33">
        <v>0</v>
      </c>
      <c r="AS8" s="33">
        <v>0</v>
      </c>
    </row>
    <row r="9" spans="1:45" ht="18" customHeight="1">
      <c r="A9" s="50" t="s">
        <v>94</v>
      </c>
      <c r="B9" s="33">
        <v>0</v>
      </c>
      <c r="C9" s="33">
        <v>0</v>
      </c>
      <c r="D9" s="33">
        <v>0</v>
      </c>
      <c r="E9" s="33">
        <v>0</v>
      </c>
      <c r="F9" s="33">
        <v>500000</v>
      </c>
      <c r="G9" s="33">
        <v>0</v>
      </c>
      <c r="H9" s="33">
        <v>0</v>
      </c>
      <c r="I9" s="33">
        <v>0</v>
      </c>
      <c r="J9" s="33">
        <v>0</v>
      </c>
      <c r="K9" s="33">
        <v>665000</v>
      </c>
      <c r="L9" s="33">
        <v>0</v>
      </c>
      <c r="M9" s="33">
        <v>0</v>
      </c>
      <c r="N9" s="33">
        <v>0</v>
      </c>
      <c r="O9" s="33">
        <v>0</v>
      </c>
      <c r="P9" s="33">
        <v>0</v>
      </c>
      <c r="Q9" s="33">
        <v>0</v>
      </c>
      <c r="R9" s="33"/>
      <c r="S9" s="33">
        <v>0</v>
      </c>
      <c r="T9" s="33">
        <v>0</v>
      </c>
      <c r="U9" s="33">
        <v>0</v>
      </c>
      <c r="V9" s="33">
        <v>0</v>
      </c>
      <c r="W9" s="33">
        <v>0</v>
      </c>
      <c r="X9" s="33"/>
      <c r="Y9" s="33">
        <v>0</v>
      </c>
      <c r="Z9" s="33">
        <v>0</v>
      </c>
      <c r="AA9" s="33">
        <v>0</v>
      </c>
      <c r="AB9" s="33">
        <v>0</v>
      </c>
      <c r="AC9" s="33">
        <v>0</v>
      </c>
      <c r="AD9" s="33">
        <v>0</v>
      </c>
      <c r="AE9" s="33">
        <v>0</v>
      </c>
      <c r="AF9" s="33">
        <v>0</v>
      </c>
      <c r="AG9" s="33">
        <v>0</v>
      </c>
      <c r="AH9" s="33">
        <v>0</v>
      </c>
      <c r="AI9" s="33">
        <v>0</v>
      </c>
      <c r="AJ9" s="33">
        <v>0</v>
      </c>
      <c r="AK9" s="33">
        <v>0</v>
      </c>
      <c r="AL9" s="33">
        <v>0</v>
      </c>
      <c r="AM9" s="33">
        <v>0</v>
      </c>
      <c r="AN9" s="33">
        <v>0</v>
      </c>
      <c r="AO9" s="33">
        <v>0</v>
      </c>
      <c r="AP9" s="33">
        <v>0</v>
      </c>
      <c r="AQ9" s="33">
        <v>0</v>
      </c>
      <c r="AR9" s="33">
        <v>0</v>
      </c>
      <c r="AS9" s="33">
        <v>0</v>
      </c>
    </row>
    <row r="10" spans="1:45" ht="18" customHeight="1">
      <c r="A10" s="50" t="s">
        <v>95</v>
      </c>
      <c r="B10" s="33">
        <v>0</v>
      </c>
      <c r="C10" s="33">
        <v>0</v>
      </c>
      <c r="D10" s="33">
        <v>0</v>
      </c>
      <c r="E10" s="33">
        <v>0</v>
      </c>
      <c r="F10" s="33">
        <v>-760000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0</v>
      </c>
      <c r="M10" s="33">
        <v>0</v>
      </c>
      <c r="N10" s="33">
        <v>0</v>
      </c>
      <c r="O10" s="33">
        <v>0</v>
      </c>
      <c r="P10" s="33">
        <v>0</v>
      </c>
      <c r="Q10" s="33">
        <v>0</v>
      </c>
      <c r="R10" s="33">
        <v>0</v>
      </c>
      <c r="S10" s="33">
        <v>0</v>
      </c>
      <c r="T10" s="33">
        <v>0</v>
      </c>
      <c r="U10" s="33">
        <v>0</v>
      </c>
      <c r="V10" s="33">
        <v>0</v>
      </c>
      <c r="W10" s="33">
        <v>0</v>
      </c>
      <c r="X10" s="33" t="s">
        <v>96</v>
      </c>
      <c r="Y10" s="33">
        <v>0</v>
      </c>
      <c r="Z10" s="33">
        <v>0</v>
      </c>
      <c r="AA10" s="33">
        <v>0</v>
      </c>
      <c r="AB10" s="33">
        <v>0</v>
      </c>
      <c r="AC10" s="33">
        <v>0</v>
      </c>
      <c r="AD10" s="33">
        <v>0</v>
      </c>
      <c r="AE10" s="33">
        <v>0</v>
      </c>
      <c r="AF10" s="33">
        <v>0</v>
      </c>
      <c r="AG10" s="33">
        <v>0</v>
      </c>
      <c r="AH10" s="33">
        <v>0</v>
      </c>
      <c r="AI10" s="33">
        <v>0</v>
      </c>
      <c r="AJ10" s="33">
        <v>0</v>
      </c>
      <c r="AK10" s="33">
        <v>0</v>
      </c>
      <c r="AL10" s="33">
        <v>0</v>
      </c>
      <c r="AM10" s="33">
        <v>0</v>
      </c>
      <c r="AN10" s="33">
        <v>0</v>
      </c>
      <c r="AO10" s="33">
        <v>0</v>
      </c>
      <c r="AP10" s="33">
        <v>0</v>
      </c>
      <c r="AQ10" s="33">
        <v>0</v>
      </c>
      <c r="AR10" s="33">
        <v>0</v>
      </c>
      <c r="AS10" s="33">
        <v>0</v>
      </c>
    </row>
    <row r="11" spans="1:45" ht="18" customHeight="1">
      <c r="A11" s="50" t="s">
        <v>97</v>
      </c>
      <c r="B11" s="33">
        <v>0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-32000</v>
      </c>
      <c r="M11" s="33">
        <v>-34000</v>
      </c>
      <c r="N11" s="33">
        <v>-35000</v>
      </c>
      <c r="O11" s="33">
        <v>-35000</v>
      </c>
      <c r="P11" s="33">
        <v>-35000</v>
      </c>
      <c r="Q11" s="33">
        <v>-35000</v>
      </c>
      <c r="R11" s="33">
        <v>-35000</v>
      </c>
      <c r="S11" s="33">
        <v>-35000</v>
      </c>
      <c r="T11" s="33">
        <v>-35000</v>
      </c>
      <c r="U11" s="33">
        <v>-35000</v>
      </c>
      <c r="V11" s="33">
        <v>-35000</v>
      </c>
      <c r="W11" s="33">
        <v>-35000</v>
      </c>
      <c r="X11" s="33">
        <v>-35000</v>
      </c>
      <c r="Y11" s="33">
        <v>0</v>
      </c>
      <c r="Z11" s="33">
        <v>0</v>
      </c>
      <c r="AA11" s="33">
        <v>0</v>
      </c>
      <c r="AB11" s="33">
        <v>0</v>
      </c>
      <c r="AC11" s="33">
        <v>0</v>
      </c>
      <c r="AD11" s="33">
        <v>0</v>
      </c>
      <c r="AE11" s="33">
        <v>0</v>
      </c>
      <c r="AF11" s="33">
        <v>0</v>
      </c>
      <c r="AG11" s="33">
        <v>0</v>
      </c>
      <c r="AH11" s="33">
        <v>0</v>
      </c>
      <c r="AI11" s="33">
        <v>0</v>
      </c>
      <c r="AJ11" s="33">
        <v>0</v>
      </c>
      <c r="AK11" s="33">
        <v>0</v>
      </c>
      <c r="AL11" s="33">
        <v>0</v>
      </c>
      <c r="AM11" s="33">
        <v>0</v>
      </c>
      <c r="AN11" s="33">
        <v>0</v>
      </c>
      <c r="AO11" s="33">
        <v>0</v>
      </c>
      <c r="AP11" s="33">
        <v>0</v>
      </c>
      <c r="AQ11" s="33">
        <v>0</v>
      </c>
      <c r="AR11" s="33">
        <v>0</v>
      </c>
      <c r="AS11" s="33">
        <v>0</v>
      </c>
    </row>
    <row r="12" spans="1:45" ht="18" customHeight="1">
      <c r="A12" s="50" t="s">
        <v>98</v>
      </c>
      <c r="B12" s="33">
        <v>0</v>
      </c>
      <c r="C12" s="33">
        <v>0</v>
      </c>
      <c r="D12" s="33">
        <v>0</v>
      </c>
      <c r="E12" s="33">
        <v>0</v>
      </c>
      <c r="F12" s="33">
        <v>-380000</v>
      </c>
      <c r="G12" s="33">
        <v>-380000</v>
      </c>
      <c r="H12" s="33">
        <v>-380000</v>
      </c>
      <c r="I12" s="33">
        <v>-402860</v>
      </c>
      <c r="J12" s="33">
        <v>-402860</v>
      </c>
      <c r="K12" s="33">
        <v>-402860</v>
      </c>
      <c r="L12" s="33">
        <v>-435000</v>
      </c>
      <c r="M12" s="33">
        <v>-435000</v>
      </c>
      <c r="N12" s="33">
        <v>-435000</v>
      </c>
      <c r="O12" s="33">
        <v>-470000</v>
      </c>
      <c r="P12" s="33">
        <v>-470000</v>
      </c>
      <c r="Q12" s="33">
        <v>-470000</v>
      </c>
      <c r="R12" s="33">
        <v>-515000</v>
      </c>
      <c r="S12" s="33">
        <v>-515000</v>
      </c>
      <c r="T12" s="33">
        <v>-515000</v>
      </c>
      <c r="U12" s="33">
        <v>-535000</v>
      </c>
      <c r="V12" s="33">
        <v>-535000</v>
      </c>
      <c r="W12" s="33">
        <v>-535000</v>
      </c>
      <c r="X12" s="33">
        <v>-567000</v>
      </c>
      <c r="Y12" s="33">
        <v>0</v>
      </c>
      <c r="Z12" s="33">
        <v>0</v>
      </c>
      <c r="AA12" s="33">
        <v>0</v>
      </c>
      <c r="AB12" s="33">
        <v>0</v>
      </c>
      <c r="AC12" s="33">
        <v>0</v>
      </c>
      <c r="AD12" s="33">
        <v>0</v>
      </c>
      <c r="AE12" s="33">
        <v>0</v>
      </c>
      <c r="AF12" s="33">
        <v>0</v>
      </c>
      <c r="AG12" s="33">
        <v>0</v>
      </c>
      <c r="AH12" s="33">
        <v>0</v>
      </c>
      <c r="AI12" s="33">
        <v>0</v>
      </c>
      <c r="AJ12" s="33">
        <v>0</v>
      </c>
      <c r="AK12" s="33">
        <v>0</v>
      </c>
      <c r="AL12" s="33">
        <v>0</v>
      </c>
      <c r="AM12" s="33">
        <v>0</v>
      </c>
      <c r="AN12" s="33">
        <v>0</v>
      </c>
      <c r="AO12" s="33">
        <v>0</v>
      </c>
      <c r="AP12" s="33">
        <v>0</v>
      </c>
      <c r="AQ12" s="33">
        <v>0</v>
      </c>
      <c r="AR12" s="33">
        <v>0</v>
      </c>
      <c r="AS12" s="33">
        <v>0</v>
      </c>
    </row>
    <row r="13" spans="1:45">
      <c r="A13" s="51" t="s">
        <v>72</v>
      </c>
      <c r="B13" s="52">
        <f t="shared" ref="B13:AS13" si="0">SUM(B4:B12)</f>
        <v>0</v>
      </c>
      <c r="C13" s="52">
        <f t="shared" si="0"/>
        <v>0</v>
      </c>
      <c r="D13" s="52">
        <f t="shared" si="0"/>
        <v>0</v>
      </c>
      <c r="E13" s="52">
        <f t="shared" si="0"/>
        <v>0</v>
      </c>
      <c r="F13" s="52">
        <f t="shared" si="0"/>
        <v>-640000</v>
      </c>
      <c r="G13" s="52">
        <f t="shared" si="0"/>
        <v>-380000</v>
      </c>
      <c r="H13" s="52">
        <f t="shared" si="0"/>
        <v>-380000</v>
      </c>
      <c r="I13" s="52">
        <f t="shared" si="0"/>
        <v>-402860</v>
      </c>
      <c r="J13" s="52">
        <f t="shared" si="0"/>
        <v>-402860</v>
      </c>
      <c r="K13" s="52">
        <f t="shared" si="0"/>
        <v>-37860</v>
      </c>
      <c r="L13" s="52">
        <f t="shared" si="0"/>
        <v>-467000</v>
      </c>
      <c r="M13" s="52">
        <f t="shared" si="0"/>
        <v>-469000</v>
      </c>
      <c r="N13" s="52">
        <f t="shared" si="0"/>
        <v>-470000</v>
      </c>
      <c r="O13" s="52">
        <f t="shared" si="0"/>
        <v>-505000</v>
      </c>
      <c r="P13" s="52">
        <f t="shared" si="0"/>
        <v>-505000</v>
      </c>
      <c r="Q13" s="52">
        <f t="shared" si="0"/>
        <v>-590000</v>
      </c>
      <c r="R13" s="52">
        <f t="shared" si="0"/>
        <v>-820000</v>
      </c>
      <c r="S13" s="52">
        <f t="shared" si="0"/>
        <v>-620000</v>
      </c>
      <c r="T13" s="52">
        <f t="shared" si="0"/>
        <v>-620000</v>
      </c>
      <c r="U13" s="52">
        <f t="shared" si="0"/>
        <v>-640000</v>
      </c>
      <c r="V13" s="52">
        <f t="shared" si="0"/>
        <v>-640000</v>
      </c>
      <c r="W13" s="52">
        <f t="shared" si="0"/>
        <v>-570000</v>
      </c>
      <c r="X13" s="52">
        <f t="shared" si="0"/>
        <v>-602000</v>
      </c>
      <c r="Y13" s="52">
        <f t="shared" si="0"/>
        <v>0</v>
      </c>
      <c r="Z13" s="52">
        <f t="shared" si="0"/>
        <v>-350000</v>
      </c>
      <c r="AA13" s="52">
        <f t="shared" si="0"/>
        <v>0</v>
      </c>
      <c r="AB13" s="52">
        <f t="shared" si="0"/>
        <v>0</v>
      </c>
      <c r="AC13" s="52">
        <f t="shared" si="0"/>
        <v>0</v>
      </c>
      <c r="AD13" s="52">
        <f t="shared" si="0"/>
        <v>0</v>
      </c>
      <c r="AE13" s="52">
        <f t="shared" si="0"/>
        <v>0</v>
      </c>
      <c r="AF13" s="52">
        <f t="shared" si="0"/>
        <v>0</v>
      </c>
      <c r="AG13" s="52">
        <f t="shared" si="0"/>
        <v>0</v>
      </c>
      <c r="AH13" s="52">
        <f t="shared" si="0"/>
        <v>0</v>
      </c>
      <c r="AI13" s="52">
        <f t="shared" si="0"/>
        <v>0</v>
      </c>
      <c r="AJ13" s="52">
        <f t="shared" si="0"/>
        <v>0</v>
      </c>
      <c r="AK13" s="52">
        <f t="shared" si="0"/>
        <v>0</v>
      </c>
      <c r="AL13" s="52">
        <f t="shared" si="0"/>
        <v>0</v>
      </c>
      <c r="AM13" s="52">
        <f t="shared" si="0"/>
        <v>0</v>
      </c>
      <c r="AN13" s="52">
        <f t="shared" si="0"/>
        <v>0</v>
      </c>
      <c r="AO13" s="52">
        <f t="shared" si="0"/>
        <v>0</v>
      </c>
      <c r="AP13" s="52">
        <f t="shared" si="0"/>
        <v>0</v>
      </c>
      <c r="AQ13" s="52">
        <f t="shared" si="0"/>
        <v>0</v>
      </c>
      <c r="AR13" s="52">
        <f t="shared" si="0"/>
        <v>0</v>
      </c>
      <c r="AS13" s="52">
        <f t="shared" si="0"/>
        <v>0</v>
      </c>
    </row>
  </sheetData>
  <mergeCells count="1">
    <mergeCell ref="A3:AS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"/>
  <sheetViews>
    <sheetView zoomScaleNormal="100" workbookViewId="0">
      <selection sqref="A1:D1"/>
    </sheetView>
  </sheetViews>
  <sheetFormatPr defaultColWidth="8.7109375" defaultRowHeight="15"/>
  <cols>
    <col min="1" max="1" width="28" customWidth="1"/>
    <col min="2" max="4" width="18" customWidth="1"/>
  </cols>
  <sheetData>
    <row r="1" spans="1:4" ht="15" customHeight="1">
      <c r="A1" s="54" t="s">
        <v>99</v>
      </c>
      <c r="B1" s="55"/>
      <c r="C1" s="55"/>
      <c r="D1" s="55"/>
    </row>
    <row r="2" spans="1:4">
      <c r="A2" s="3" t="s">
        <v>100</v>
      </c>
      <c r="B2" s="3" t="s">
        <v>101</v>
      </c>
      <c r="C2" s="3" t="s">
        <v>102</v>
      </c>
      <c r="D2" s="3" t="s">
        <v>103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4"/>
  <sheetViews>
    <sheetView workbookViewId="0">
      <selection activeCell="E9" sqref="E9"/>
    </sheetView>
  </sheetViews>
  <sheetFormatPr defaultRowHeight="15"/>
  <cols>
    <col min="1" max="1" width="26" customWidth="1"/>
    <col min="2" max="2" width="11" customWidth="1"/>
    <col min="3" max="3" width="14" customWidth="1"/>
    <col min="4" max="4" width="16" customWidth="1"/>
    <col min="5" max="5" width="18" customWidth="1"/>
    <col min="6" max="6" width="16" customWidth="1"/>
    <col min="7" max="7" width="11" customWidth="1"/>
    <col min="8" max="8" width="17" customWidth="1"/>
    <col min="9" max="9" width="14" customWidth="1"/>
  </cols>
  <sheetData>
    <row r="1" spans="1:9" ht="32.1" customHeight="1">
      <c r="A1" s="60" t="s">
        <v>104</v>
      </c>
      <c r="B1" s="55"/>
      <c r="C1" s="55"/>
      <c r="D1" s="55"/>
      <c r="E1" s="55"/>
      <c r="F1" s="55"/>
      <c r="G1" s="55"/>
      <c r="H1" s="55"/>
      <c r="I1" s="55"/>
    </row>
    <row r="2" spans="1:9" ht="20.100000000000001" customHeight="1">
      <c r="A2" s="62" t="s">
        <v>105</v>
      </c>
      <c r="B2" s="55"/>
      <c r="C2" s="55"/>
      <c r="D2" s="55"/>
      <c r="E2" s="55"/>
      <c r="F2" s="55"/>
      <c r="G2" s="55"/>
      <c r="H2" s="55"/>
      <c r="I2" s="55"/>
    </row>
    <row r="3" spans="1:9" ht="20.100000000000001" customHeight="1">
      <c r="A3" s="23" t="s">
        <v>106</v>
      </c>
      <c r="B3" s="22">
        <v>200000</v>
      </c>
      <c r="C3" s="64" t="s">
        <v>107</v>
      </c>
      <c r="D3" s="55"/>
      <c r="E3" s="55"/>
      <c r="F3" s="55"/>
      <c r="G3" s="55"/>
      <c r="H3" s="55"/>
      <c r="I3" s="55"/>
    </row>
    <row r="4" spans="1:9" ht="8.1" customHeight="1">
      <c r="A4" s="25"/>
      <c r="B4" s="25"/>
      <c r="C4" s="25"/>
      <c r="D4" s="25"/>
      <c r="E4" s="25"/>
      <c r="F4" s="25"/>
      <c r="G4" s="25"/>
      <c r="H4" s="25"/>
      <c r="I4" s="25"/>
    </row>
    <row r="5" spans="1:9" ht="27.95" customHeight="1">
      <c r="A5" s="53" t="s">
        <v>108</v>
      </c>
      <c r="B5" s="53" t="s">
        <v>109</v>
      </c>
      <c r="C5" s="53" t="s">
        <v>110</v>
      </c>
      <c r="D5" s="53" t="s">
        <v>111</v>
      </c>
      <c r="E5" s="53" t="s">
        <v>112</v>
      </c>
      <c r="F5" s="53" t="s">
        <v>113</v>
      </c>
      <c r="G5" s="53" t="s">
        <v>114</v>
      </c>
      <c r="H5" s="53" t="s">
        <v>115</v>
      </c>
      <c r="I5" s="53" t="s">
        <v>116</v>
      </c>
    </row>
    <row r="6" spans="1:9" ht="21.95" customHeight="1">
      <c r="A6" s="4" t="s">
        <v>117</v>
      </c>
      <c r="B6" s="5">
        <v>1</v>
      </c>
      <c r="C6" s="5" t="s">
        <v>118</v>
      </c>
      <c r="D6" s="6">
        <v>650000</v>
      </c>
      <c r="E6" s="6" t="s">
        <v>96</v>
      </c>
      <c r="F6" s="7" t="s">
        <v>96</v>
      </c>
      <c r="G6" s="8" t="s">
        <v>96</v>
      </c>
      <c r="H6" s="9">
        <f>IF(D6=0,"-",IF(E6&gt;=D6,0,CEILING((D6-E6)/$B$3,1)))</f>
        <v>0</v>
      </c>
      <c r="I6" s="5" t="str">
        <f>IF(D6=0,"N/A",IF(E6&gt;=D6,"✅ LISTO",IF(E6/D6&gt;=0.5,"🟡 EN CURSO","🔴 PENDIENTE")))</f>
        <v>✅ LISTO</v>
      </c>
    </row>
    <row r="7" spans="1:9" ht="21.95" customHeight="1">
      <c r="A7" s="10" t="s">
        <v>119</v>
      </c>
      <c r="B7" s="11">
        <v>2</v>
      </c>
      <c r="C7" s="11" t="s">
        <v>120</v>
      </c>
      <c r="D7" s="12">
        <v>650000</v>
      </c>
      <c r="E7" s="12" t="s">
        <v>96</v>
      </c>
      <c r="F7" s="13" t="s">
        <v>96</v>
      </c>
      <c r="G7" s="14" t="s">
        <v>96</v>
      </c>
      <c r="H7" s="15">
        <f>IF(D7=0,"-",IF(E7&gt;=D7,0,F6/$B$3+CEILING((D7-E7)/$B$3,1)))</f>
        <v>0</v>
      </c>
      <c r="I7" s="11" t="str">
        <f>IF(D7=0,"N/A",IF(E7&gt;=D7,"✅ LISTO",IF(E7/D7&gt;=0.5,"🟡 EN CURSO","🔴 PENDIENTE")))</f>
        <v>✅ LISTO</v>
      </c>
    </row>
    <row r="8" spans="1:9" ht="21.95" customHeight="1">
      <c r="A8" s="16" t="s">
        <v>121</v>
      </c>
      <c r="B8" s="17">
        <v>3</v>
      </c>
      <c r="C8" s="17" t="s">
        <v>122</v>
      </c>
      <c r="D8" s="18">
        <v>0</v>
      </c>
      <c r="E8" s="18">
        <v>0</v>
      </c>
      <c r="F8" s="19" t="str">
        <f>IF(D8=0,"-",D8-E8)</f>
        <v>-</v>
      </c>
      <c r="G8" s="20" t="str">
        <f>IF(D8=0,"-",E8/D8)</f>
        <v>-</v>
      </c>
      <c r="H8" s="21" t="s">
        <v>123</v>
      </c>
      <c r="I8" s="17" t="str">
        <f>IF(E8&gt;0,"💰 INVIRTIENDO","⏳ PRÓXIMO")</f>
        <v>⏳ PRÓXIMO</v>
      </c>
    </row>
    <row r="9" spans="1:9" ht="21.95" customHeight="1">
      <c r="A9" s="61" t="s">
        <v>124</v>
      </c>
      <c r="B9" s="55"/>
      <c r="C9" s="55"/>
      <c r="D9" s="24">
        <f>D6+D7</f>
        <v>1300000</v>
      </c>
      <c r="E9" s="24" t="e">
        <f>E6+E7</f>
        <v>#VALUE!</v>
      </c>
      <c r="F9" s="24" t="e">
        <f>F6+F7</f>
        <v>#VALUE!</v>
      </c>
      <c r="G9" s="25"/>
      <c r="H9" s="25"/>
      <c r="I9" s="25"/>
    </row>
    <row r="10" spans="1:9" ht="8.1" customHeight="1">
      <c r="A10" s="25"/>
      <c r="B10" s="25"/>
      <c r="C10" s="25"/>
      <c r="D10" s="25"/>
      <c r="E10" s="25"/>
      <c r="F10" s="25"/>
      <c r="G10" s="25"/>
      <c r="H10" s="25"/>
      <c r="I10" s="25"/>
    </row>
    <row r="11" spans="1:9" ht="20.100000000000001" customHeight="1">
      <c r="A11" s="63" t="s">
        <v>125</v>
      </c>
      <c r="B11" s="55"/>
      <c r="C11" s="55"/>
      <c r="D11" s="55"/>
      <c r="E11" s="55"/>
      <c r="F11" s="55"/>
      <c r="G11" s="55"/>
      <c r="H11" s="55"/>
      <c r="I11" s="55"/>
    </row>
    <row r="12" spans="1:9" ht="18" customHeight="1">
      <c r="A12" s="59" t="s">
        <v>126</v>
      </c>
      <c r="B12" s="55"/>
      <c r="C12" s="55"/>
      <c r="D12" s="55"/>
      <c r="E12" s="55"/>
      <c r="F12" s="55"/>
      <c r="G12" s="55"/>
      <c r="H12" s="55"/>
      <c r="I12" s="55"/>
    </row>
    <row r="13" spans="1:9" ht="18" customHeight="1">
      <c r="A13" s="59" t="s">
        <v>127</v>
      </c>
      <c r="B13" s="55"/>
      <c r="C13" s="55"/>
      <c r="D13" s="55"/>
      <c r="E13" s="55"/>
      <c r="F13" s="55"/>
      <c r="G13" s="55"/>
      <c r="H13" s="55"/>
      <c r="I13" s="55"/>
    </row>
    <row r="14" spans="1:9" ht="18" customHeight="1">
      <c r="A14" s="59" t="s">
        <v>128</v>
      </c>
      <c r="B14" s="55"/>
      <c r="C14" s="55"/>
      <c r="D14" s="55"/>
      <c r="E14" s="55"/>
      <c r="F14" s="55"/>
      <c r="G14" s="55"/>
      <c r="H14" s="55"/>
      <c r="I14" s="55"/>
    </row>
  </sheetData>
  <mergeCells count="8">
    <mergeCell ref="A13:I13"/>
    <mergeCell ref="A14:I14"/>
    <mergeCell ref="A1:I1"/>
    <mergeCell ref="A9:C9"/>
    <mergeCell ref="A12:I12"/>
    <mergeCell ref="A2:I2"/>
    <mergeCell ref="A11:I11"/>
    <mergeCell ref="C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2026-06-27T10:25:36Z</dcterms:created>
  <dcterms:modified xsi:type="dcterms:W3CDTF">2026-07-05T03:09:35Z</dcterms:modified>
  <cp:category/>
  <cp:contentStatus/>
</cp:coreProperties>
</file>